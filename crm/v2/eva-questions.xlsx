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Клиентки (кастдев)" sheetId="2" state="visible" r:id="rId2"/>
    <sheet name="Эксперты" sheetId="3" state="visible" r:id="rId3"/>
    <sheet name="Партнёры" sheetId="4" state="visible" r:id="rId4"/>
    <sheet name="Амбассадоры" sheetId="5" state="visible" r:id="rId5"/>
    <sheet name="Списки" sheetId="6" state="hidden" r:id="rId6"/>
  </sheets>
  <definedNames>
    <definedName name="_xlnm.Print_Titles" localSheetId="1">'Клиентки (кастдев)'!$4:$4</definedName>
    <definedName name="_xlnm.Print_Titles" localSheetId="2">'Эксперты'!$4:$4</definedName>
    <definedName name="_xlnm.Print_Titles" localSheetId="3">'Партнёры'!$4:$4</definedName>
    <definedName name="_xlnm.Print_Titles" localSheetId="4">'Амбассадоры'!$4:$4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b val="1"/>
      <color rgb="001D1828"/>
      <sz val="15"/>
    </font>
    <font>
      <name val="Arial"/>
      <color rgb="005A5766"/>
      <sz val="10"/>
    </font>
    <font>
      <name val="Arial"/>
      <b val="1"/>
      <color rgb="00FFFFFF"/>
      <sz val="10"/>
    </font>
    <font>
      <name val="Arial"/>
      <b val="1"/>
      <color rgb="003B2150"/>
      <sz val="11"/>
    </font>
    <font>
      <name val="Arial"/>
      <b val="1"/>
      <color rgb="006B4E8A"/>
      <sz val="10"/>
    </font>
    <font>
      <name val="Arial"/>
      <b val="1"/>
      <color rgb="004F46B8"/>
      <sz val="10"/>
    </font>
    <font>
      <name val="Arial"/>
      <color rgb="0016141C"/>
      <sz val="10"/>
    </font>
    <font>
      <name val="Arial"/>
      <color rgb="005A5766"/>
      <sz val="9"/>
    </font>
    <font>
      <name val="Arial"/>
      <i val="1"/>
      <color rgb="008A8796"/>
      <sz val="9"/>
    </font>
    <font>
      <name val="Arial"/>
      <b val="1"/>
      <color rgb="003B2150"/>
      <sz val="10"/>
    </font>
    <font>
      <name val="Arial"/>
      <b val="1"/>
      <color rgb="001D1828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B2150"/>
      </patternFill>
    </fill>
    <fill>
      <patternFill patternType="solid">
        <fgColor rgb="00ECE6F5"/>
      </patternFill>
    </fill>
    <fill>
      <patternFill patternType="solid">
        <fgColor rgb="00F7F4FB"/>
      </patternFill>
    </fill>
    <fill>
      <patternFill patternType="solid">
        <fgColor rgb="00F4F3F6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DDAE3"/>
      </left>
      <right style="thin">
        <color rgb="00DDDAE3"/>
      </right>
      <top style="thin">
        <color rgb="00DDDAE3"/>
      </top>
      <bottom style="thin">
        <color rgb="00DDDA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1" fillId="0" borderId="0" pivotButton="0" quotePrefix="0" xfId="0"/>
    <xf numFmtId="0" fontId="3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3" borderId="1" pivotButton="0" quotePrefix="0" xfId="0"/>
    <xf numFmtId="0" fontId="4" fillId="3" borderId="1" applyAlignment="1" pivotButton="0" quotePrefix="0" xfId="0">
      <alignment vertical="center"/>
    </xf>
    <xf numFmtId="0" fontId="0" fillId="4" borderId="1" pivotButton="0" quotePrefix="0" xfId="0"/>
    <xf numFmtId="0" fontId="5" fillId="4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9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5" fontId="9" fillId="5" borderId="1" applyAlignment="1" pivotButton="0" quotePrefix="0" xfId="0">
      <alignment horizontal="left" vertical="top"/>
    </xf>
    <xf numFmtId="165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Eva CRM</author>
  </authors>
  <commentList>
    <comment ref="F4" authorId="0" shapeId="0">
      <text>
        <t>Как выглядят заполненные ответы: вымышленный человек из примера в CRM. Столбец можно удалить.</t>
      </text>
    </comment>
  </commentList>
</comments>
</file>

<file path=xl/comments/comment2.xml><?xml version="1.0" encoding="utf-8"?>
<comments xmlns="http://schemas.openxmlformats.org/spreadsheetml/2006/main">
  <authors>
    <author>Eva CRM</author>
  </authors>
  <commentList>
    <comment ref="F4" authorId="0" shapeId="0">
      <text>
        <t>Как выглядят заполненные ответы: вымышленный человек из примера в CRM. Столбец можно удалить.</t>
      </text>
    </comment>
  </commentList>
</comments>
</file>

<file path=xl/comments/comment3.xml><?xml version="1.0" encoding="utf-8"?>
<comments xmlns="http://schemas.openxmlformats.org/spreadsheetml/2006/main">
  <authors>
    <author>Eva CRM</author>
  </authors>
  <commentList>
    <comment ref="F4" authorId="0" shapeId="0">
      <text>
        <t>Как выглядят заполненные ответы: вымышленный человек из примера в CRM. Столбец можно удалить.</t>
      </text>
    </comment>
  </commentList>
</comments>
</file>

<file path=xl/comments/comment4.xml><?xml version="1.0" encoding="utf-8"?>
<comments xmlns="http://schemas.openxmlformats.org/spreadsheetml/2006/main">
  <authors>
    <author>Eva CRM</author>
  </authors>
  <commentList>
    <comment ref="F4" authorId="0" shapeId="0">
      <text>
        <t>Как выглядят заполненные ответы: вымышленный человек из примера в CRM. Столбец можно удалить.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3B215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Вопросы Eva CRM — анкета, интервью и итог · кастдев 2.0</t>
        </is>
      </c>
    </row>
    <row r="3" ht="34" customHeight="1">
      <c r="A3" s="2" t="inlineStr">
        <is>
          <t>Вкладки</t>
        </is>
      </c>
      <c r="B3" s="3" t="inlineStr">
        <is>
          <t>Клиентки (кастдев), Эксперты, Партнёры, Амбассадоры. На каждой три блока — как три шага в CRM: 1. Анкета → 2. Созвон → 3. Итог.</t>
        </is>
      </c>
    </row>
    <row r="4" ht="48" customHeight="1">
      <c r="A4" s="2" t="inlineStr">
        <is>
          <t>Разделы</t>
        </is>
      </c>
      <c r="B4" s="3" t="inlineStr">
        <is>
          <t>Вопросы клиенток — по таблице «Вопросы V2»: анкета разбита на 8 разделов (знакомство, жизнь, состояние, время для себя, режим дня, контент, Ева, на связи), интервью — на 9 (от знакомства до «посоветовала бы подруге»). Сиреневые строки — названия разделов, как в CRM.</t>
        </is>
      </c>
    </row>
    <row r="5" ht="34" customHeight="1">
      <c r="A5" s="2" t="inlineStr">
        <is>
          <t>Править вопросы</t>
        </is>
      </c>
      <c r="B5" s="3" t="inlineStr">
        <is>
          <t>Меняйте текст прямо в столбце «Вопрос», варианты — в «Варианты ответа». Новый вопрос — вставьте строку внутри нужного блока. Лишний — удалите строку.</t>
        </is>
      </c>
    </row>
    <row r="6" ht="34" customHeight="1">
      <c r="A6" s="2" t="inlineStr">
        <is>
          <t>Вписывать ответы</t>
        </is>
      </c>
      <c r="B6" s="3" t="inlineStr">
        <is>
          <t>Жёлтые столбцы «Человек 1, 2, 3…» — один столбец на человека. Имя из первого вопроса анкеты само встанет в заголовок столбца.</t>
        </is>
      </c>
    </row>
    <row r="7" ht="48" customHeight="1">
      <c r="A7" s="2" t="inlineStr">
        <is>
          <t>Как вписывать</t>
        </is>
      </c>
      <c r="B7" s="3" t="inlineStr">
        <is>
          <t>Один вариант — выберите из списка в ячейке или впишите свой. Несколько вариантов — через запятую. «Другое» — впишите свой вариант словами. Шкала — цифра (1–10 или 1–5, см. «Как отвечать»). Дата — 14.03.1991. У вопросов интервью с быстрыми метками — сначала метка, потом ответ.</t>
        </is>
      </c>
    </row>
    <row r="8" ht="34" customHeight="1">
      <c r="A8" s="2" t="inlineStr">
        <is>
          <t>Пример</t>
        </is>
      </c>
      <c r="B8" s="3" t="inlineStr">
        <is>
          <t>Серый столбец «Пример» показывает, как выглядят заполненные ответы (вымышленный человек из демо в CRM). Его можно удалить.</t>
        </is>
      </c>
    </row>
    <row r="9" ht="20" customHeight="1">
      <c r="A9" s="2" t="inlineStr">
        <is>
          <t>Ответили</t>
        </is>
      </c>
      <c r="B9" s="3" t="inlineStr">
        <is>
          <t>Столбец считается сам: сколько человек ответили на вопрос.</t>
        </is>
      </c>
    </row>
    <row r="10" ht="34" customHeight="1">
      <c r="A10" s="2" t="inlineStr">
        <is>
          <t>Перенести в CRM</t>
        </is>
      </c>
      <c r="B10" s="3" t="inlineStr">
        <is>
          <t>Таблица с CRM не связана. Чтобы правка вопроса попала в анкету по ссылке, повторите её в CRM: «Вопросы» → значок карандаша у вопроса. Новые ссылки сразу будут с правкой.</t>
        </is>
      </c>
    </row>
    <row r="12">
      <c r="A12" s="4" t="inlineStr">
        <is>
          <t>Сводка</t>
        </is>
      </c>
    </row>
    <row r="13" ht="30" customHeight="1">
      <c r="A13" s="5" t="inlineStr">
        <is>
          <t>Группа</t>
        </is>
      </c>
      <c r="B13" s="5" t="inlineStr">
        <is>
          <t>Вопросов в анкете</t>
        </is>
      </c>
      <c r="C13" s="5" t="inlineStr">
        <is>
          <t>Вопросов для созвона</t>
        </is>
      </c>
      <c r="D13" s="5" t="inlineStr">
        <is>
          <t>Людей с анкетой</t>
        </is>
      </c>
      <c r="E13" s="5" t="inlineStr">
        <is>
          <t>Созвонов проведено</t>
        </is>
      </c>
    </row>
    <row r="14">
      <c r="A14" s="6" t="inlineStr">
        <is>
          <t>Клиентки (кастдев)</t>
        </is>
      </c>
      <c r="B14" s="7">
        <f>COUNT('Клиентки (кастдев)'!A7:A53)</f>
        <v/>
      </c>
      <c r="C14" s="7">
        <f>COUNT('Клиентки (кастдев)'!A58:A102)</f>
        <v/>
      </c>
      <c r="D14" s="7">
        <f>COUNTA('Клиентки (кастдев)'!G7:U7)</f>
        <v/>
      </c>
      <c r="E14" s="7">
        <f>COUNTA('Клиентки (кастдев)'!G55:U55)</f>
        <v/>
      </c>
    </row>
    <row r="15">
      <c r="A15" s="6" t="inlineStr">
        <is>
          <t>Эксперты</t>
        </is>
      </c>
      <c r="B15" s="7">
        <f>COUNT('Эксперты'!A6:A22)</f>
        <v/>
      </c>
      <c r="C15" s="7">
        <f>COUNT('Эксперты'!A26:A38)</f>
        <v/>
      </c>
      <c r="D15" s="7">
        <f>COUNTA('Эксперты'!G6:P6)</f>
        <v/>
      </c>
      <c r="E15" s="7">
        <f>COUNTA('Эксперты'!G24:P24)</f>
        <v/>
      </c>
    </row>
    <row r="16">
      <c r="A16" s="6" t="inlineStr">
        <is>
          <t>Партнёры</t>
        </is>
      </c>
      <c r="B16" s="7">
        <f>COUNT('Партнёры'!A6:A18)</f>
        <v/>
      </c>
      <c r="C16" s="7">
        <f>COUNT('Партнёры'!A22:A31)</f>
        <v/>
      </c>
      <c r="D16" s="7">
        <f>COUNTA('Партнёры'!G6:P6)</f>
        <v/>
      </c>
      <c r="E16" s="7">
        <f>COUNTA('Партнёры'!G20:P20)</f>
        <v/>
      </c>
    </row>
    <row r="17">
      <c r="A17" s="6" t="inlineStr">
        <is>
          <t>Амбассадоры</t>
        </is>
      </c>
      <c r="B17" s="7">
        <f>COUNT('Амбассадоры'!A6:A19)</f>
        <v/>
      </c>
      <c r="C17" s="7">
        <f>COUNT('Амбассадоры'!A23:A32)</f>
        <v/>
      </c>
      <c r="D17" s="7">
        <f>COUNTA('Амбассадоры'!G6:P6)</f>
        <v/>
      </c>
      <c r="E17" s="7">
        <f>COUNTA('Амбассадоры'!G21:P21)</f>
        <v/>
      </c>
    </row>
    <row r="18">
      <c r="A18" s="8" t="inlineStr">
        <is>
          <t>Всего</t>
        </is>
      </c>
      <c r="B18" s="9">
        <f>SUM(B14:B17)</f>
        <v/>
      </c>
      <c r="C18" s="9">
        <f>SUM(C14:C17)</f>
        <v/>
      </c>
      <c r="D18" s="9">
        <f>SUM(D14:D17)</f>
        <v/>
      </c>
      <c r="E18" s="9">
        <f>SUM(E14:E17)</f>
        <v/>
      </c>
    </row>
    <row r="20" ht="46" customHeight="1">
      <c r="A20" s="2" t="inlineStr">
        <is>
          <t>Справочно: 14 направлений экспертов</t>
        </is>
      </c>
      <c r="B20" s="3" t="inlineStr">
        <is>
          <t>🏋️‍♀️ Фитнес · 🤸‍♀️ Растяжка · 🧠 Психология · ☯️ Цигун · 💌 Аффирмации · 🌬 Медитация и дыхание · 👶 Для мам · 💄 Красота и здоровье · 🧭 Предназначение · 💗 Отношения · 🧘‍♀️ Йога · 🤰 Для беременных · 🌺 Женские практики · 💰 Финансы</t>
        </is>
      </c>
    </row>
    <row r="21" ht="60" customHeight="1">
      <c r="A21" s="2" t="inlineStr">
        <is>
          <t>Категории партнёров</t>
        </is>
      </c>
      <c r="B21" s="3" t="inlineStr">
        <is>
          <t>💅 Салон красоты · 🤸‍♀️ Студия пилатеса · 🧘‍♀️ Йога-студия · 🏋️‍♀️ Фитнес-клуб · ✨ Косметология · 💆‍♀️ SPA и массаж · 🥗 Здоровое питание · 🧠 Психологический центр · 🏥 Женское здоровье · 👶 Центр для мам и детей · 🏠 Пространство для встреч · 🛍 Бренд для маркета · 🎤 Организатор мероприятий · ⭐ Спонсор · 📱 Медиа и блогеры · 📚 Образование</t>
        </is>
      </c>
    </row>
  </sheetData>
  <mergeCells count="10">
    <mergeCell ref="B9:E9"/>
    <mergeCell ref="B8:E8"/>
    <mergeCell ref="B4:E4"/>
    <mergeCell ref="B6:E6"/>
    <mergeCell ref="B21:E21"/>
    <mergeCell ref="B7:E7"/>
    <mergeCell ref="B3:E3"/>
    <mergeCell ref="B5:E5"/>
    <mergeCell ref="B20:E20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4A0B8"/>
    <outlinePr summaryBelow="1" summaryRight="1"/>
    <pageSetUpPr/>
  </sheetPr>
  <dimension ref="A1:U108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7" customWidth="1" min="3" max="3"/>
    <col width="42" customWidth="1" min="4" max="4"/>
    <col width="1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 ht="26" customHeight="1">
      <c r="A1" s="10" t="inlineStr">
        <is>
          <t>🌸 Кастдев — клиентки</t>
        </is>
      </c>
    </row>
    <row r="2" ht="44" customHeight="1">
      <c r="A2" s="11" t="inlineStr">
        <is>
          <t>Кастдев: что болит, что нравится и что улучшить в Еве. Три шага, как в CRM: Анкета → Интервью → Итог. Обращаемся на «ты».</t>
        </is>
      </c>
    </row>
    <row r="3" ht="32" customHeight="1">
      <c r="A3" s="11" t="inlineStr">
        <is>
          <t>Жёлтые столбцы — для ответов, по одному на человека. Вопросы и варианты можно править прямо здесь.</t>
        </is>
      </c>
    </row>
    <row r="4" ht="30" customHeight="1">
      <c r="A4" s="5" t="inlineStr">
        <is>
          <t>№</t>
        </is>
      </c>
      <c r="B4" s="5" t="inlineStr">
        <is>
          <t>Вопрос</t>
        </is>
      </c>
      <c r="C4" s="5" t="inlineStr">
        <is>
          <t>Как отвечать</t>
        </is>
      </c>
      <c r="D4" s="5" t="inlineStr">
        <is>
          <t>Варианты ответа / зачем спрашиваем</t>
        </is>
      </c>
      <c r="E4" s="5" t="inlineStr">
        <is>
          <t>Ответили</t>
        </is>
      </c>
      <c r="F4" s="5" t="inlineStr">
        <is>
          <t>Пример</t>
        </is>
      </c>
      <c r="G4" s="5">
        <f>IF(G$7="","Человек 1",G$7)</f>
        <v/>
      </c>
      <c r="H4" s="5">
        <f>IF(H$7="","Человек 2",H$7)</f>
        <v/>
      </c>
      <c r="I4" s="5">
        <f>IF(I$7="","Человек 3",I$7)</f>
        <v/>
      </c>
      <c r="J4" s="5">
        <f>IF(J$7="","Человек 4",J$7)</f>
        <v/>
      </c>
      <c r="K4" s="5">
        <f>IF(K$7="","Человек 5",K$7)</f>
        <v/>
      </c>
      <c r="L4" s="5">
        <f>IF(L$7="","Человек 6",L$7)</f>
        <v/>
      </c>
      <c r="M4" s="5">
        <f>IF(M$7="","Человек 7",M$7)</f>
        <v/>
      </c>
      <c r="N4" s="5">
        <f>IF(N$7="","Человек 8",N$7)</f>
        <v/>
      </c>
      <c r="O4" s="5">
        <f>IF(O$7="","Человек 9",O$7)</f>
        <v/>
      </c>
      <c r="P4" s="5">
        <f>IF(P$7="","Человек 10",P$7)</f>
        <v/>
      </c>
      <c r="Q4" s="5">
        <f>IF(Q$7="","Человек 11",Q$7)</f>
        <v/>
      </c>
      <c r="R4" s="5">
        <f>IF(R$7="","Человек 12",R$7)</f>
        <v/>
      </c>
      <c r="S4" s="5">
        <f>IF(S$7="","Человек 13",S$7)</f>
        <v/>
      </c>
      <c r="T4" s="5">
        <f>IF(T$7="","Человек 14",T$7)</f>
        <v/>
      </c>
      <c r="U4" s="5">
        <f>IF(U$7="","Человек 15",U$7)</f>
        <v/>
      </c>
    </row>
    <row r="5" ht="24" customHeight="1">
      <c r="A5" s="12" t="n"/>
      <c r="B5" s="13" t="inlineStr">
        <is>
          <t>1. АНКЕТА — человек заполняет сам по ссылке или вы за него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 ht="20" customHeight="1">
      <c r="A6" s="14" t="n"/>
      <c r="B6" s="15" t="inlineStr">
        <is>
          <t>🌸 Знакомство — имя, город, возраст · 5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</row>
    <row r="7" ht="20" customHeight="1">
      <c r="A7" s="16" t="n">
        <v>1</v>
      </c>
      <c r="B7" s="17" t="inlineStr">
        <is>
          <t>Как тебя зовут?</t>
        </is>
      </c>
      <c r="C7" s="18" t="inlineStr">
        <is>
          <t>Короткий ответ</t>
        </is>
      </c>
      <c r="D7" s="18" t="inlineStr">
        <is>
          <t>Подсказка в поле: Имя</t>
        </is>
      </c>
      <c r="E7" s="19">
        <f>COUNTA(G7:U7)</f>
        <v/>
      </c>
      <c r="F7" s="20" t="inlineStr">
        <is>
          <t>Ольга</t>
        </is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</row>
    <row r="8" ht="32" customHeight="1">
      <c r="A8" s="16" t="n">
        <v>2</v>
      </c>
      <c r="B8" s="17" t="inlineStr">
        <is>
          <t>Твой EVA ID — если ты уже в приложении</t>
        </is>
      </c>
      <c r="C8" s="18" t="inlineStr">
        <is>
          <t>Короткий ответ · можно пропустить</t>
        </is>
      </c>
      <c r="D8" s="18" t="inlineStr">
        <is>
          <t>Подсказка в поле: Можно пропустить</t>
        </is>
      </c>
      <c r="E8" s="19">
        <f>COUNTA(G8:U8)</f>
        <v/>
      </c>
      <c r="F8" s="20" t="inlineStr">
        <is>
          <t>EVA-40210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t="32" customHeight="1">
      <c r="A9" s="16" t="n">
        <v>3</v>
      </c>
      <c r="B9" s="17" t="inlineStr">
        <is>
          <t>Когда у тебя день рождения?</t>
        </is>
      </c>
      <c r="C9" s="18" t="inlineStr">
        <is>
          <t>Дата</t>
        </is>
      </c>
      <c r="D9" s="18" t="inlineStr">
        <is>
          <t>Дата: 14.03.1991. Возраст посчитаем сами — в анкете он не нужен</t>
        </is>
      </c>
      <c r="E9" s="19">
        <f>COUNTA(G9:U9)</f>
        <v/>
      </c>
      <c r="F9" s="22" t="n">
        <v>34156</v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</row>
    <row r="10" ht="20" customHeight="1">
      <c r="A10" s="16" t="n">
        <v>4</v>
      </c>
      <c r="B10" s="17" t="inlineStr">
        <is>
          <t>В каком городе ты живёшь?</t>
        </is>
      </c>
      <c r="C10" s="18" t="inlineStr">
        <is>
          <t>Короткий ответ</t>
        </is>
      </c>
      <c r="D10" s="18" t="inlineStr">
        <is>
          <t>Подсказка в поле: Начни писать: Казань</t>
        </is>
      </c>
      <c r="E10" s="19">
        <f>COUNTA(G10:U10)</f>
        <v/>
      </c>
      <c r="F10" s="20" t="inlineStr">
        <is>
          <t>Москва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</row>
    <row r="11" ht="58" customHeight="1">
      <c r="A11" s="16" t="n">
        <v>5</v>
      </c>
      <c r="B11" s="17" t="inlineStr">
        <is>
          <t>Страна</t>
        </is>
      </c>
      <c r="C11" s="18" t="inlineStr">
        <is>
          <t>Один вариант</t>
        </is>
      </c>
      <c r="D11" s="18" t="inlineStr">
        <is>
          <t>В анкете не спрашиваем — подставляем по городу. Если город незнакомый: Россия · Казахстан · Беларусь · Узбекистан · Грузия · Армения · Другая страна (впишите своё)</t>
        </is>
      </c>
      <c r="E11" s="19">
        <f>COUNTA(G11:U11)</f>
        <v/>
      </c>
      <c r="F11" s="20" t="inlineStr">
        <is>
          <t>Россия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</row>
    <row r="12" ht="20" customHeight="1">
      <c r="A12" s="14" t="n"/>
      <c r="B12" s="15" t="inlineStr">
        <is>
          <t>🏡 Жизнь сейчас — статус, работа, доход, жильё, этап · 8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10" customHeight="1">
      <c r="A13" s="16" t="n">
        <v>6</v>
      </c>
      <c r="B13" s="17" t="inlineStr">
        <is>
          <t>Твой социальный статус</t>
        </is>
      </c>
      <c r="C13" s="18" t="inlineStr">
        <is>
          <t>Несколько вариантов (до 2)</t>
        </is>
      </c>
      <c r="D13" s="18" t="inlineStr">
        <is>
          <t>Можно отметить два: статус и что ищешь.
Не замужем, в отношениях не была · Замужем · Живу с партнёром без регистрации · В отношениях, живём раздельно · Всё сложно / в процессе развода · Разведена · Вдова · Не ищу отношений, фокусируюсь на себе · Ищу серьёзные отношения · Ищу лёгкое общение без обязательств · Открыта к знакомствам, но специально не ищу</t>
        </is>
      </c>
      <c r="E13" s="19">
        <f>COUNTA(G13:U13)</f>
        <v/>
      </c>
      <c r="F13" s="20" t="inlineStr">
        <is>
          <t>Не замужем, в отношениях не была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</row>
    <row r="14" ht="123" customHeight="1">
      <c r="A14" s="16" t="n">
        <v>7</v>
      </c>
      <c r="B14" s="17" t="inlineStr">
        <is>
          <t>Твоя занятость</t>
        </is>
      </c>
      <c r="C14" s="18" t="inlineStr">
        <is>
          <t>Один вариант</t>
        </is>
      </c>
      <c r="D14" s="18" t="inlineStr">
        <is>
          <t>Полная занятость по трудовому договору · Частичная занятость · Индивидуальный предприниматель (ИП) · Самозанятая / Фрилансер · Владелица бизнеса / Предприниматель (есть сотрудники в штате) · Руководитель / Топ-менеджер · Специалист / Линейный сотрудник · Обслуживающий / Технический персонал · Студентка · В декретном отпуске · Домохозяйка · Временно не работаю (в активном поиске работы) · Не работаю (и не ищу работу)</t>
        </is>
      </c>
      <c r="E14" s="19">
        <f>COUNTA(G14:U14)</f>
        <v/>
      </c>
      <c r="F14" s="20" t="inlineStr">
        <is>
          <t>Владелица бизнеса / Предприниматель</t>
        </is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</row>
    <row r="15" ht="71" customHeight="1">
      <c r="A15" s="16" t="n">
        <v>8</v>
      </c>
      <c r="B15" s="17" t="inlineStr">
        <is>
          <t>Какой у тебя график работы?</t>
        </is>
      </c>
      <c r="C15" s="18" t="inlineStr">
        <is>
          <t>Один вариант</t>
        </is>
      </c>
      <c r="D15" s="18" t="inlineStr">
        <is>
          <t>Только тем, кто работает (по ответу о занятости).
Работаю удалённо · Работаю на гибридном графике · Работаю в офисе 5/2 · Работаю по сменному графику, например 2/2</t>
        </is>
      </c>
      <c r="E15" s="19">
        <f>COUNTA(G15:U15)</f>
        <v/>
      </c>
      <c r="F15" s="20" t="inlineStr">
        <is>
          <t>Работаю удалённо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</row>
    <row r="16" ht="136" customHeight="1">
      <c r="A16" s="16" t="n">
        <v>9</v>
      </c>
      <c r="B16" s="17" t="inlineStr">
        <is>
          <t>Как ты оцениваешь свой доход?</t>
        </is>
      </c>
      <c r="C16" s="18" t="inlineStr">
        <is>
          <t>Один вариант</t>
        </is>
      </c>
      <c r="D16" s="18" t="inlineStr">
        <is>
          <t>Примерно — нам важна картина, а не цифры.
Крайне низкий (денег не хватает даже на продукты) · Низкий (на продукты хватает, одежда — уже трудно) · Ниже среднего (хватает на еду и одежду, технику — копить или в кредит) · Средний (хватает на еду, одежду и крупную технику, но не на машину) · Выше среднего (можем купить машину, на жильё нужна ипотека) · Высокий (можем позволить почти всё без кредитов) · На обеспечении (живу на обеспечении родителей, партнёра или государства)</t>
        </is>
      </c>
      <c r="E16" s="19">
        <f>COUNTA(G16:U16)</f>
        <v/>
      </c>
      <c r="F16" s="20" t="inlineStr">
        <is>
          <t>Низкий</t>
        </is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</row>
    <row r="17" ht="84" customHeight="1">
      <c r="A17" s="16" t="n">
        <v>10</v>
      </c>
      <c r="B17" s="17" t="inlineStr">
        <is>
          <t>Где и как ты живёшь?</t>
        </is>
      </c>
      <c r="C17" s="18" t="inlineStr">
        <is>
          <t>Один вариант</t>
        </is>
      </c>
      <c r="D17" s="18" t="inlineStr">
        <is>
          <t>Собственное жильё (без ипотеки и обременений) · Собственное жильё в ипотеке · Снимаю жильё (помесячная аренда) · Живу с родителями или родственниками · Живу в общежитии · Служебное жильё (предоставил работодатель) · Временное размещение (без постоянного места жительства)</t>
        </is>
      </c>
      <c r="E17" s="19">
        <f>COUNTA(G17:U17)</f>
        <v/>
      </c>
      <c r="F17" s="20" t="inlineStr">
        <is>
          <t>Собственное жильё</t>
        </is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</row>
    <row r="18" ht="45" customHeight="1">
      <c r="A18" s="16" t="n">
        <v>11</v>
      </c>
      <c r="B18" s="17" t="inlineStr">
        <is>
          <t>Какой у тебя ритм жизни?</t>
        </is>
      </c>
      <c r="C18" s="18" t="inlineStr">
        <is>
          <t>Один вариант</t>
        </is>
      </c>
      <c r="D18" s="18" t="inlineStr">
        <is>
          <t>Жаворонок — легко встаю рано · Сова — оживаю к вечеру · Где-то посередине · Свой режим, всё по ситуации · Режим скачет: дети, смены, перелёты</t>
        </is>
      </c>
      <c r="E18" s="19">
        <f>COUNTA(G18:U18)</f>
        <v/>
      </c>
      <c r="F18" s="20" t="inlineStr">
        <is>
          <t>Где-то посередине</t>
        </is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</row>
    <row r="19" ht="32" customHeight="1">
      <c r="A19" s="16" t="n">
        <v>12</v>
      </c>
      <c r="B19" s="17" t="inlineStr">
        <is>
          <t>Какая сфера сейчас забирает 80% твоего внимания?</t>
        </is>
      </c>
      <c r="C19" s="18" t="inlineStr">
        <is>
          <t>Один вариант</t>
        </is>
      </c>
      <c r="D19" s="18" t="inlineStr">
        <is>
          <t>Отношения · Семья и дети · Карьера и учёба · Поиск себя и отдых</t>
        </is>
      </c>
      <c r="E19" s="19">
        <f>COUNTA(G19:U19)</f>
        <v/>
      </c>
      <c r="F19" s="20" t="inlineStr">
        <is>
          <t>Карьера и учёба</t>
        </is>
      </c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</row>
    <row r="20" ht="409" customHeight="1">
      <c r="A20" s="16" t="n">
        <v>13</v>
      </c>
      <c r="B20" s="17" t="inlineStr">
        <is>
          <t>Какой вариант точнее всего описывает твой этап жизни?</t>
        </is>
      </c>
      <c r="C20" s="18" t="inlineStr">
        <is>
          <t>Несколько вариантов (до 2)</t>
        </is>
      </c>
      <c r="D20" s="18" t="inlineStr">
        <is>
          <t>Второй шаг после сферы: показываем группы выбранной сферы.
Выбери один или два самых актуальных.
Становление, учёба и сепарация: Первое образование / Студенчество (учусь в колледже или вузе, думаю, что делать дальше) · Взросление и сепарация от родителей (первые шаги в самостоятельной жизни, свои границы) · Первый опыт работы (выхожу на рынок труда, привыкаю к взрослой ответственности)
Отношения, романтика и дейтинг: В активном поиске спутника жизни (серьёзные отношения, семейные перспективы) · В поиске флирта, лёгкого общения или интрижки (без обязательств) · Этап влюблённости и романтики (начало отношений, притирка, общие планы) · Осознанно не в отношениях / Соло-жизнь (комфортно одной, фокус на себе) · Переживаю расставание / Развод (восстановление, проживание боли, пересборка себя)
Материнство и семья: Беременность (подготовка к новой роли, смена приоритетов) · Мама младенца / малыша до 3 лет (большая нагрузка, мало времени на себя) · Мама дошкольника / школьника (3–12 лет: баланс семейных и своих задач) · Мама подростка / взрослого ребёнка (дети отделяются, «пустое гнездо», своя жизнь)
Карьера, бизнес и реализация: Построение карьеры / Профессиональный рост (рост, статус, повышаю доход) · Развитие своего дела / Предпринимательство (много ответственности, ищу ресурс и систему) · Смена профессии / Второе образование (переучиваюсь, ищу новое дело)
Поиск себя и ресурс: Ищу своё направление / В поиске себя (кризис смыслов, исследую свои желания) · В поисках баланса и защиты от выгорания (перегрузка, собираю ресурсы) · Поживу для себя / Фокус на личных интересах (замедление, эстетика, отдых) · Переходный период / Перезагрузка (переезд, смена уклада, поиск опоры)</t>
        </is>
      </c>
      <c r="E20" s="19">
        <f>COUNTA(G20:U20)</f>
        <v/>
      </c>
      <c r="F20" s="20" t="inlineStr">
        <is>
          <t>Первый опыт работы, Смена профессии / Второе образование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</row>
    <row r="21" ht="20" customHeight="1">
      <c r="A21" s="14" t="n"/>
      <c r="B21" s="15" t="inlineStr">
        <is>
          <t>🌤 Состояние — энергия, настроение, что беспокоит · 5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84" customHeight="1">
      <c r="A22" s="16" t="n">
        <v>14</v>
      </c>
      <c r="B22" s="17" t="inlineStr">
        <is>
          <t>Какой у тебя сейчас уровень энергии?</t>
        </is>
      </c>
      <c r="C22" s="18" t="inlineStr">
        <is>
          <t>Шкала 1–10</t>
        </is>
      </c>
      <c r="D22" s="18" t="inlineStr">
        <is>
          <t>1 — полный ноль … 10 — могу всё. Подсказки: 1 — Полный «ноль» · 2 — Сильное истощение · 3 — Фоновая тревога и тяжесть · 4 — Вывожу из последних сил · 5 — Нормальный режим · 6 — Умеренный ресурс · 7 — Хороший ресурс · 8 — Высокий подъём · 9 — Изобилие и поток · 10 — Максимальный пик</t>
        </is>
      </c>
      <c r="E22" s="19">
        <f>COUNTA(G22:U22)</f>
        <v/>
      </c>
      <c r="F22" s="20" t="n">
        <v>6</v>
      </c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</row>
    <row r="23" ht="97" customHeight="1">
      <c r="A23" s="16" t="n">
        <v>15</v>
      </c>
      <c r="B23" s="17" t="inlineStr">
        <is>
          <t>Насколько ты довольна своей жизнью сейчас?</t>
        </is>
      </c>
      <c r="C23" s="18" t="inlineStr">
        <is>
          <t>Шкала 1–10</t>
        </is>
      </c>
      <c r="D23" s="18" t="inlineStr">
        <is>
          <t>1 — всё рушится … 10 — полная гармония. Подсказки: 1 — Глубокий тупик · 2 — Острое недовольство · 3 — «День сурка» · 4 — Живу не на полную · 5 — 50 на 50 · 6 — Скорее довольна · 7 — Хорошая, устойчивая жизнь · 8 — Высокий уровень счастья · 9 — Полный контакт с собой · 10 — Абсолютная гармония</t>
        </is>
      </c>
      <c r="E23" s="19">
        <f>COUNTA(G23:U23)</f>
        <v/>
      </c>
      <c r="F23" s="20" t="n">
        <v>7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</row>
    <row r="24" ht="71" customHeight="1">
      <c r="A24" s="16" t="n">
        <v>16</v>
      </c>
      <c r="B24" s="17" t="inlineStr">
        <is>
          <t>Как ты оцениваешь своё здоровье?</t>
        </is>
      </c>
      <c r="C24" s="18" t="inlineStr">
        <is>
          <t>Шкала 1–10</t>
        </is>
      </c>
      <c r="D24" s="18" t="inlineStr">
        <is>
          <t>1 — очень плохо … 10 — отлично. Подсказки: 1 — Очень плохо · 2 — Плохо · 3 — Ниже среднего · 4 — Терпимо · 5 — Средне · 6 — Неплохо · 7 — Хорошо · 8 — Очень хорошо · 9 — Отлично · 10 — На все 100%</t>
        </is>
      </c>
      <c r="E24" s="19">
        <f>COUNTA(G24:U24)</f>
        <v/>
      </c>
      <c r="F24" s="20" t="n">
        <v>5</v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</row>
    <row r="25" ht="84" customHeight="1">
      <c r="A25" s="16" t="n">
        <v>17</v>
      </c>
      <c r="B25" s="17" t="inlineStr">
        <is>
          <t>Что беспокоит чаще всего?</t>
        </is>
      </c>
      <c r="C25" s="18" t="inlineStr">
        <is>
          <t>Несколько вариантов (до 2)</t>
        </is>
      </c>
      <c r="D25" s="18" t="inlineStr">
        <is>
          <t>Усталость и выгорание · Постоянная самокритика и сомнения · Проблемы со сном, сложно расслабиться · Нет времени и ресурса на себя · Одиночество и дефицит общения · Потеря ориентиров и поиск себя · Сложности в отношениях или с границами · Другое (впишите своё)</t>
        </is>
      </c>
      <c r="E25" s="19">
        <f>COUNTA(G25:U25)</f>
        <v/>
      </c>
      <c r="F25" s="20" t="inlineStr">
        <is>
          <t>Потеря ориентиров и поиск себя, Усталость и выгорание</t>
        </is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</row>
    <row r="26" ht="214" customHeight="1">
      <c r="A26" s="16" t="n">
        <v>18</v>
      </c>
      <c r="B26" s="17" t="inlineStr">
        <is>
          <t>Какая сфера для тебя сейчас важнее всего?</t>
        </is>
      </c>
      <c r="C26" s="18" t="inlineStr">
        <is>
          <t>Один вариант</t>
        </is>
      </c>
      <c r="D26" s="18" t="inlineStr">
        <is>
          <t>Над чем хочется поработать в первую очередь.
Ментальное здоровье и эмоциональный баланс (выгорание, тревога, покой) · Физическое здоровье, тело и тонус (восстановление ресурса, забота о себе, сон) · Романтические отношения и личная жизнь (поиск партнёра, крепкий брак, проживание расставания) · Материнство и семья (воспитание детей, баланс между домом и собой) · Карьера, бизнес и финансовая независимость (рост дохода, проявление в профессии, смена работы) · Окружение и социальные связи (поиск «своих» людей, дружба, нетворкинг) · Личностный рост и самоопределение (кризис смыслов, уверенность в себе, синдром самозванки) · Время для себя и яркость жизни (эстетичный досуг, новые увлечения, время только для себя) · В своём прайме, всё хорошо</t>
        </is>
      </c>
      <c r="E26" s="19">
        <f>COUNTA(G26:U26)</f>
        <v/>
      </c>
      <c r="F26" s="20" t="inlineStr">
        <is>
          <t>Время для себя и яркость жизни</t>
        </is>
      </c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</row>
    <row r="27" ht="20" customHeight="1">
      <c r="A27" s="14" t="n"/>
      <c r="B27" s="15" t="inlineStr">
        <is>
          <t>⏳ Время для себя — сколько, когда, что уже пробовала · 5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</row>
    <row r="28" ht="20" customHeight="1">
      <c r="A28" s="16" t="n">
        <v>19</v>
      </c>
      <c r="B28" s="17" t="inlineStr">
        <is>
          <t>Сколько минут в день реально готова уделять себе?</t>
        </is>
      </c>
      <c r="C28" s="18" t="inlineStr">
        <is>
          <t>Один вариант</t>
        </is>
      </c>
      <c r="D28" s="18" t="inlineStr">
        <is>
          <t>5–10 минут · 15–20 минут · 30 минут и больше</t>
        </is>
      </c>
      <c r="E28" s="19">
        <f>COUNTA(G28:U28)</f>
        <v/>
      </c>
      <c r="F28" s="20" t="inlineStr">
        <is>
          <t>15–20 минут</t>
        </is>
      </c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</row>
    <row r="29" ht="20" customHeight="1">
      <c r="A29" s="16" t="n">
        <v>20</v>
      </c>
      <c r="B29" s="17" t="inlineStr">
        <is>
          <t>Когда тебе удобнее заниматься собой?</t>
        </is>
      </c>
      <c r="C29" s="18" t="inlineStr">
        <is>
          <t>Один вариант</t>
        </is>
      </c>
      <c r="D29" s="18" t="inlineStr">
        <is>
          <t>Утром · Днём · Вечером</t>
        </is>
      </c>
      <c r="E29" s="19">
        <f>COUNTA(G29:U29)</f>
        <v/>
      </c>
      <c r="F29" s="20" t="inlineStr">
        <is>
          <t>Днём</t>
        </is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</row>
    <row r="30" ht="45" customHeight="1">
      <c r="A30" s="16" t="n">
        <v>21</v>
      </c>
      <c r="B30" s="17" t="inlineStr">
        <is>
          <t>Что ты уже пробовала?</t>
        </is>
      </c>
      <c r="C30" s="18" t="inlineStr">
        <is>
          <t>Несколько вариантов</t>
        </is>
      </c>
      <c r="D30" s="18" t="inlineStr">
        <is>
          <t>Приложения медитаций · Йога или фитнес · Психолог · Онлайн-курсы · Марафоны блогеров · Пока ничего · Другое (впишите своё)</t>
        </is>
      </c>
      <c r="E30" s="19">
        <f>COUNTA(G30:U30)</f>
        <v/>
      </c>
      <c r="F30" s="20" t="inlineStr">
        <is>
          <t>Приложения медитаций, Марафоны блогеров</t>
        </is>
      </c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</row>
    <row r="31" ht="45" customHeight="1">
      <c r="A31" s="16" t="n">
        <v>22</v>
      </c>
      <c r="B31" s="17" t="inlineStr">
        <is>
          <t>Сколько в месяц тратишь на саморазвитие: онлайн-обучение, курсы, практики, спорт?</t>
        </is>
      </c>
      <c r="C31" s="18" t="inlineStr">
        <is>
          <t>Один вариант</t>
        </is>
      </c>
      <c r="D31" s="18" t="inlineStr">
        <is>
          <t>До 3 000 ₽ · 3 000–7 000 ₽ · 7 000–15 000 ₽ · 15 000–30 000 ₽ · 30 000–60 000 ₽ · 60 000 ₽ и больше</t>
        </is>
      </c>
      <c r="E31" s="19">
        <f>COUNTA(G31:U31)</f>
        <v/>
      </c>
      <c r="F31" s="20" t="inlineStr">
        <is>
          <t>До 3 000 ₽</t>
        </is>
      </c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</row>
    <row r="32" ht="32" customHeight="1">
      <c r="A32" s="16" t="n">
        <v>23</v>
      </c>
      <c r="B32" s="17" t="inlineStr">
        <is>
          <t>Как тебе комфортнее меняться и проходить трансформации?</t>
        </is>
      </c>
      <c r="C32" s="18" t="inlineStr">
        <is>
          <t>Один вариант</t>
        </is>
      </c>
      <c r="D32" s="18" t="inlineStr">
        <is>
          <t>С наставником · Самостоятельно · В группе, с поддержкой · По-разному</t>
        </is>
      </c>
      <c r="E32" s="19">
        <f>COUNTA(G32:U32)</f>
        <v/>
      </c>
      <c r="F32" s="20" t="inlineStr">
        <is>
          <t>С наставником</t>
        </is>
      </c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</row>
    <row r="33" ht="20" customHeight="1">
      <c r="A33" s="14" t="n"/>
      <c r="B33" s="15" t="inlineStr">
        <is>
          <t>☀️ Режим дня — сон, питание, телефон · 6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</row>
    <row r="34" ht="32" customHeight="1">
      <c r="A34" s="16" t="n">
        <v>24</v>
      </c>
      <c r="B34" s="17" t="inlineStr">
        <is>
          <t>Во сколько ты обычно просыпаешься?</t>
        </is>
      </c>
      <c r="C34" s="18" t="inlineStr">
        <is>
          <t>Один вариант</t>
        </is>
      </c>
      <c r="D34" s="18" t="inlineStr">
        <is>
          <t>До 6:00 · 6:00–7:00 · 7:00–8:00 · 8:00–9:00 · После 9:00 · Каждый день по-разному</t>
        </is>
      </c>
      <c r="E34" s="19">
        <f>COUNTA(G34:U34)</f>
        <v/>
      </c>
      <c r="F34" s="20" t="inlineStr">
        <is>
          <t>7:00–8:00</t>
        </is>
      </c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</row>
    <row r="35" ht="32" customHeight="1">
      <c r="A35" s="16" t="n">
        <v>25</v>
      </c>
      <c r="B35" s="17" t="inlineStr">
        <is>
          <t>Во сколько ложишься спать?</t>
        </is>
      </c>
      <c r="C35" s="18" t="inlineStr">
        <is>
          <t>Один вариант</t>
        </is>
      </c>
      <c r="D35" s="18" t="inlineStr">
        <is>
          <t>До 22:00 · 22:00–23:00 · 23:00–00:00 · 00:00–01:00 · После 01:00 · По-разному</t>
        </is>
      </c>
      <c r="E35" s="19">
        <f>COUNTA(G35:U35)</f>
        <v/>
      </c>
      <c r="F35" s="20" t="inlineStr">
        <is>
          <t>00:00–01:00</t>
        </is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</row>
    <row r="36" ht="32" customHeight="1">
      <c r="A36" s="16" t="n">
        <v>26</v>
      </c>
      <c r="B36" s="17" t="inlineStr">
        <is>
          <t>Как обычно устроено твоё питание?</t>
        </is>
      </c>
      <c r="C36" s="18" t="inlineStr">
        <is>
          <t>Несколько вариантов</t>
        </is>
      </c>
      <c r="D36" s="18" t="inlineStr">
        <is>
          <t>Готовлю сама · Доставка еды · Кафе и рестораны · Перекусы на ходу · Готовит кто-то из семьи</t>
        </is>
      </c>
      <c r="E36" s="19">
        <f>COUNTA(G36:U36)</f>
        <v/>
      </c>
      <c r="F36" s="20" t="inlineStr">
        <is>
          <t>Готовлю сама, Кафе и рестораны</t>
        </is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</row>
    <row r="37" ht="45" customHeight="1">
      <c r="A37" s="16" t="n">
        <v>27</v>
      </c>
      <c r="B37" s="17" t="inlineStr">
        <is>
          <t>Какой у тебя тип питания?</t>
        </is>
      </c>
      <c r="C37" s="18" t="inlineStr">
        <is>
          <t>Один вариант</t>
        </is>
      </c>
      <c r="D37" s="18" t="inlineStr">
        <is>
          <t>Ем всё · Вегетарианка · Веганка · Пескетарианка · Фрукторианка · Слежу: ПП, без сахара или глютена · Другое (впишите своё)</t>
        </is>
      </c>
      <c r="E37" s="19">
        <f>COUNTA(G37:U37)</f>
        <v/>
      </c>
      <c r="F37" s="20" t="inlineStr">
        <is>
          <t>Ем всё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</row>
    <row r="38" ht="45" customHeight="1">
      <c r="A38" s="16" t="n">
        <v>28</v>
      </c>
      <c r="B38" s="17" t="inlineStr">
        <is>
          <t>Сколько времени в день ты проводишь в телефоне?</t>
        </is>
      </c>
      <c r="C38" s="18" t="inlineStr">
        <is>
          <t>Один вариант</t>
        </is>
      </c>
      <c r="D38" s="18" t="inlineStr">
        <is>
          <t>Можно подсмотреть в «Экранном времени».
До 2 часов · 2–4 часа · 4–6 часов · Больше 6 часов · Не знаю</t>
        </is>
      </c>
      <c r="E38" s="19">
        <f>COUNTA(G38:U38)</f>
        <v/>
      </c>
      <c r="F38" s="20" t="inlineStr">
        <is>
          <t>Не знаю</t>
        </is>
      </c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</row>
    <row r="39" ht="32" customHeight="1">
      <c r="A39" s="16" t="n">
        <v>29</v>
      </c>
      <c r="B39" s="17" t="inlineStr">
        <is>
          <t>Пользуешься ли трекерами здоровья?</t>
        </is>
      </c>
      <c r="C39" s="18" t="inlineStr">
        <is>
          <t>Несколько вариантов</t>
        </is>
      </c>
      <c r="D39" s="18" t="inlineStr">
        <is>
          <t>Apple Watch · Whoop · Garmin · Фитнес-браслет · Умное кольцо · Нет, ничего</t>
        </is>
      </c>
      <c r="E39" s="19">
        <f>COUNTA(G39:U39)</f>
        <v/>
      </c>
      <c r="F39" s="20" t="inlineStr">
        <is>
          <t>Умное кольцо</t>
        </is>
      </c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</row>
    <row r="40" ht="20" customHeight="1">
      <c r="A40" s="14" t="n"/>
      <c r="B40" s="15" t="inlineStr">
        <is>
          <t>📱 Контент — где и как смотришь полезное · 5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</row>
    <row r="41" ht="45" customHeight="1">
      <c r="A41" s="16" t="n">
        <v>30</v>
      </c>
      <c r="B41" s="17" t="inlineStr">
        <is>
          <t>Где ты чаще всего смотришь полезный контент?</t>
        </is>
      </c>
      <c r="C41" s="18" t="inlineStr">
        <is>
          <t>Несколько вариантов</t>
        </is>
      </c>
      <c r="D41" s="18" t="inlineStr">
        <is>
          <t>Telegram · YouTube · Instagram* · ВКонтакте · Подкасты · Приложения · TikTok · Дзен · Другое (впишите своё)</t>
        </is>
      </c>
      <c r="E41" s="19">
        <f>COUNTA(G41:U41)</f>
        <v/>
      </c>
      <c r="F41" s="20" t="inlineStr">
        <is>
          <t>Telegram, ВКонтакте</t>
        </is>
      </c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</row>
    <row r="42" ht="71" customHeight="1">
      <c r="A42" s="16" t="n">
        <v>31</v>
      </c>
      <c r="B42" s="17" t="inlineStr">
        <is>
          <t>Какая длина практики комфортна тебе в будний день?</t>
        </is>
      </c>
      <c r="C42" s="18" t="inlineStr">
        <is>
          <t>Один вариант</t>
        </is>
      </c>
      <c r="D42" s="18" t="inlineStr">
        <is>
          <t>Практика — видео или аудио, которое ты делаешь вместе с экспертом: дыхание, йога, медитация. Уроки курсов могут быть длиннее.
До 5 минут · 5–15 минут · 15–30 минут · 30–60 минут · Больше часа</t>
        </is>
      </c>
      <c r="E42" s="19">
        <f>COUNTA(G42:U42)</f>
        <v/>
      </c>
      <c r="F42" s="20" t="inlineStr">
        <is>
          <t>15–30 минут</t>
        </is>
      </c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</row>
    <row r="43" ht="32" customHeight="1">
      <c r="A43" s="16" t="n">
        <v>32</v>
      </c>
      <c r="B43" s="17" t="inlineStr">
        <is>
          <t>Ускоряешь видео и подкасты?</t>
        </is>
      </c>
      <c r="C43" s="18" t="inlineStr">
        <is>
          <t>Один вариант</t>
        </is>
      </c>
      <c r="D43" s="18" t="inlineStr">
        <is>
          <t>Нет, смотрю как есть · Да, 1,25–1,5× · Да, 1,75–2× · Зависит от спикера</t>
        </is>
      </c>
      <c r="E43" s="19">
        <f>COUNTA(G43:U43)</f>
        <v/>
      </c>
      <c r="F43" s="20" t="inlineStr">
        <is>
          <t>Зависит от спикера</t>
        </is>
      </c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</row>
    <row r="44" ht="149" customHeight="1">
      <c r="A44" s="16" t="n">
        <v>33</v>
      </c>
      <c r="B44" s="17" t="inlineStr">
        <is>
          <t>Какая подача помогает тебе сразу применить материал?</t>
        </is>
      </c>
      <c r="C44" s="18" t="inlineStr">
        <is>
          <t>Несколько вариантов (до 2)</t>
        </is>
      </c>
      <c r="D44" s="18" t="inlineStr">
        <is>
          <t>Алгоритмы и пошаговые гайды (сделай А, затем Б — получи результат) · Экспресс-техники (практики на 2–5 минут без подготовки) · Интерактив и домашние задания (упражнения, самопроверка, трекинг внедрения) · Разбор кейсов (реальная ситуация, ошибки и лучшее решение) · Шпаргалки, памятки и чек-листы (карточки и PDF — сохранить в телефон) · Аудио на ходу (голосовые практики и подкасты в дороге и на прогулке) · Вопрос эксперту и разбор (задать вопрос по своей ситуации и получить персональный разбор)</t>
        </is>
      </c>
      <c r="E44" s="19">
        <f>COUNTA(G44:U44)</f>
        <v/>
      </c>
      <c r="F44" s="20" t="inlineStr">
        <is>
          <t>Аудио на ходу, Интерактив и домашние задания</t>
        </is>
      </c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</row>
    <row r="45" ht="32" customHeight="1">
      <c r="A45" s="16" t="n">
        <v>34</v>
      </c>
      <c r="B45" s="17" t="inlineStr">
        <is>
          <t>Важно ли тебе задать вопрос эксперту?</t>
        </is>
      </c>
      <c r="C45" s="18" t="inlineStr">
        <is>
          <t>Один вариант</t>
        </is>
      </c>
      <c r="D45" s="18" t="inlineStr">
        <is>
          <t>Да, важно, чтобы ответили · Иногда · Нет, хватит выжимки</t>
        </is>
      </c>
      <c r="E45" s="19">
        <f>COUNTA(G45:U45)</f>
        <v/>
      </c>
      <c r="F45" s="20" t="inlineStr">
        <is>
          <t>Нет, хватит выжимки</t>
        </is>
      </c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</row>
    <row r="46" ht="20" customHeight="1">
      <c r="A46" s="14" t="n"/>
      <c r="B46" s="15" t="inlineStr">
        <is>
          <t>💜 Ева — что интересно и сколько стоит · 3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</row>
    <row r="47" ht="45" customHeight="1">
      <c r="A47" s="16" t="n">
        <v>35</v>
      </c>
      <c r="B47" s="17" t="inlineStr">
        <is>
          <t>Что было бы интересно в Еве? Выбери до трёх вариантов</t>
        </is>
      </c>
      <c r="C47" s="18" t="inlineStr">
        <is>
          <t>Несколько вариантов (до 3)</t>
        </is>
      </c>
      <c r="D47" s="18" t="inlineStr">
        <is>
          <t>Короткие практики · Мастер-классы экспертов · Курсы · Живые эфиры · Сообщество · Офлайн-встречи · Ева — ИИ-помощница · Календарь цикла</t>
        </is>
      </c>
      <c r="E47" s="19">
        <f>COUNTA(G47:U47)</f>
        <v/>
      </c>
      <c r="F47" s="20" t="inlineStr">
        <is>
          <t>Календарь цикла, Офлайн-встречи, Ева — ИИ-помощница</t>
        </is>
      </c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</row>
    <row r="48" ht="58" customHeight="1">
      <c r="A48" s="16" t="n">
        <v>36</v>
      </c>
      <c r="B48" s="17" t="inlineStr">
        <is>
          <t>Что ещё было бы интересно получить в Еве?</t>
        </is>
      </c>
      <c r="C48" s="18" t="inlineStr">
        <is>
          <t>Несколько вариантов</t>
        </is>
      </c>
      <c r="D48" s="18" t="inlineStr">
        <is>
          <t>Тренировки · Трекер привычек и прогресса · Клубная скидка · Проверенные места и эксперты (рекомендации от Евы) · Товары · Ретриты · Сообщество · Бесплатные клубные мероприятия</t>
        </is>
      </c>
      <c r="E48" s="19">
        <f>COUNTA(G48:U48)</f>
        <v/>
      </c>
      <c r="F48" s="20" t="inlineStr">
        <is>
          <t>Проверенные места и эксперты, Тренировки, Трекер привычек и прогресса</t>
        </is>
      </c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</row>
    <row r="49" ht="32" customHeight="1">
      <c r="A49" s="16" t="n">
        <v>37</v>
      </c>
      <c r="B49" s="17" t="inlineStr">
        <is>
          <t>Сколько было бы комфортно платить за подписку в месяц, чтобы реально пользоваться сервисом?</t>
        </is>
      </c>
      <c r="C49" s="18" t="inlineStr">
        <is>
          <t>Один вариант</t>
        </is>
      </c>
      <c r="D49" s="18" t="inlineStr">
        <is>
          <t>До 1 000 ₽ · 1 000–3 000 ₽ · 3 000–5 000 ₽ · 5 000–7 000 ₽ · 7 000–10 000 ₽ · 10 000 ₽ и больше</t>
        </is>
      </c>
      <c r="E49" s="19">
        <f>COUNTA(G49:U49)</f>
        <v/>
      </c>
      <c r="F49" s="20" t="inlineStr">
        <is>
          <t>До 1 000 ₽</t>
        </is>
      </c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</row>
    <row r="50" ht="20" customHeight="1">
      <c r="A50" s="14" t="n"/>
      <c r="B50" s="15" t="inlineStr">
        <is>
          <t>📲 На связи — как договориться о звонке · 3</t>
        </is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</row>
    <row r="51" ht="45" customHeight="1">
      <c r="A51" s="16" t="n">
        <v>38</v>
      </c>
      <c r="B51" s="17" t="inlineStr">
        <is>
          <t>Откуда ты узнала о Еве?</t>
        </is>
      </c>
      <c r="C51" s="18" t="inlineStr">
        <is>
          <t>Один вариант</t>
        </is>
      </c>
      <c r="D51" s="18" t="inlineStr">
        <is>
          <t>Telegram · ВКонтакте · Блогер · Подруга · Эксперт · Студия или салон · Мероприятие · Другое (впишите своё)</t>
        </is>
      </c>
      <c r="E51" s="19">
        <f>COUNTA(G51:U51)</f>
        <v/>
      </c>
      <c r="F51" s="20" t="inlineStr">
        <is>
          <t>Студия или салон</t>
        </is>
      </c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</row>
    <row r="52" ht="32" customHeight="1">
      <c r="A52" s="16" t="n">
        <v>39</v>
      </c>
      <c r="B52" s="17" t="inlineStr">
        <is>
          <t>Готова созвониться на 30 минут в Zoom? Нам очень важно твоё мнение</t>
        </is>
      </c>
      <c r="C52" s="18" t="inlineStr">
        <is>
          <t>Один вариант</t>
        </is>
      </c>
      <c r="D52" s="18" t="inlineStr">
        <is>
          <t>Да, в будни днём · Да, в будни вечером · Да, в выходные · Лучше перепишемся · Нет, спасибо</t>
        </is>
      </c>
      <c r="E52" s="19">
        <f>COUNTA(G52:U52)</f>
        <v/>
      </c>
      <c r="F52" s="20" t="inlineStr">
        <is>
          <t>Да, в будни днём</t>
        </is>
      </c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</row>
    <row r="53" ht="32" customHeight="1">
      <c r="A53" s="16" t="n">
        <v>40</v>
      </c>
      <c r="B53" s="17" t="inlineStr">
        <is>
          <t>Твой Telegram или телефон — чтобы договориться о звонке</t>
        </is>
      </c>
      <c r="C53" s="18" t="inlineStr">
        <is>
          <t>Короткий ответ</t>
        </is>
      </c>
      <c r="D53" s="18" t="inlineStr">
        <is>
          <t>Подсказка в поле: @username или +7…</t>
        </is>
      </c>
      <c r="E53" s="19">
        <f>COUNTA(G53:U53)</f>
        <v/>
      </c>
      <c r="F53" s="20" t="inlineStr">
        <is>
          <t>@olga</t>
        </is>
      </c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</row>
    <row r="54" ht="24" customHeight="1">
      <c r="A54" s="12" t="n"/>
      <c r="B54" s="13" t="inlineStr">
        <is>
          <t>2. ИНТЕРВЬЮ — открытые вопросы для Zoom, 20–30 минут. Записывайте коротко, своими словами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 ht="20" customHeight="1">
      <c r="A55" s="16" t="n"/>
      <c r="B55" s="17" t="inlineStr">
        <is>
          <t>Дата созвона</t>
        </is>
      </c>
      <c r="C55" s="18" t="inlineStr">
        <is>
          <t>Дата</t>
        </is>
      </c>
      <c r="D55" s="18" t="inlineStr">
        <is>
          <t>Например: 25.09.2026</t>
        </is>
      </c>
      <c r="E55" s="19">
        <f>COUNTA(G55:U55)</f>
        <v/>
      </c>
      <c r="F55" s="20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</row>
    <row r="56" ht="20" customHeight="1">
      <c r="A56" s="16" t="n"/>
      <c r="B56" s="17" t="inlineStr">
        <is>
          <t>Кто вёл</t>
        </is>
      </c>
      <c r="C56" s="18" t="inlineStr">
        <is>
          <t>Короткий ответ</t>
        </is>
      </c>
      <c r="D56" s="18" t="inlineStr">
        <is>
          <t>Имя из команды</t>
        </is>
      </c>
      <c r="E56" s="19">
        <f>COUNTA(G56:U56)</f>
        <v/>
      </c>
      <c r="F56" s="20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</row>
    <row r="57" ht="20" customHeight="1">
      <c r="A57" s="14" t="n"/>
      <c r="B57" s="15" t="inlineStr">
        <is>
          <t>Знакомство · 1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</row>
    <row r="58" ht="58" customHeight="1">
      <c r="A58" s="16" t="n">
        <v>1</v>
      </c>
      <c r="B58" s="17" t="inlineStr">
        <is>
          <t>Кем ты работаешь? Расскажи коротко, чем занимаешься.</t>
        </is>
      </c>
      <c r="C58" s="18" t="inlineStr">
        <is>
          <t>Открытый ответ</t>
        </is>
      </c>
      <c r="D58" s="18" t="inlineStr">
        <is>
          <t>Зачем: Какая нагрузка и сколько свободы в дне</t>
        </is>
      </c>
      <c r="E58" s="19">
        <f>COUNTA(G58:U58)</f>
        <v/>
      </c>
      <c r="F58" s="20" t="inlineStr">
        <is>
          <t>Работаю в IT удалённо, продакт. Двое детей, муж много в командировках.</t>
        </is>
      </c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</row>
    <row r="59" ht="20" customHeight="1">
      <c r="A59" s="14" t="n"/>
      <c r="B59" s="15" t="inlineStr">
        <is>
          <t>Точка А · 3</t>
        </is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</row>
    <row r="60" ht="71" customHeight="1">
      <c r="A60" s="16" t="n">
        <v>2</v>
      </c>
      <c r="B60" s="17" t="inlineStr">
        <is>
          <t>Если бы твоя жизнь сейчас была погодой — какая это погода за окном?</t>
        </is>
      </c>
      <c r="C60" s="18" t="inlineStr">
        <is>
          <t>Открытый ответ + метки</t>
        </is>
      </c>
      <c r="D60" s="18" t="inlineStr">
        <is>
          <t>Зачем: Состояние одной картинкой. Отметьте погоду кнопкой — она уйдёт в статистику
Быстрые метки: Солнечно · Переменная облачность · Пасмурно · Дождь · Гроза · Туман · Снег и тишина · Ветер, всё меняется</t>
        </is>
      </c>
      <c r="E60" s="19">
        <f>COUNTA(G60:U60)</f>
        <v/>
      </c>
      <c r="F60" s="20" t="inlineStr">
        <is>
          <t>Переменная облачность · Туман — не понимаю, куда иду и чего хочу.</t>
        </is>
      </c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</row>
    <row r="61" ht="58" customHeight="1">
      <c r="A61" s="16" t="n">
        <v>3</v>
      </c>
      <c r="B61" s="17" t="inlineStr">
        <is>
          <t>Что тебя сейчас беспокоит больше всего?</t>
        </is>
      </c>
      <c r="C61" s="18" t="inlineStr">
        <is>
          <t>Открытый ответ</t>
        </is>
      </c>
      <c r="D61" s="18" t="inlineStr">
        <is>
          <t>Зачем: Настоящая боль своими словами</t>
        </is>
      </c>
      <c r="E61" s="19">
        <f>COUNTA(G61:U61)</f>
        <v/>
      </c>
      <c r="F61" s="20" t="inlineStr">
        <is>
          <t>Ругаю себя за всё: что мало с ребёнком, что поправилась, что не работаю.</t>
        </is>
      </c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</row>
    <row r="62" ht="58" customHeight="1">
      <c r="A62" s="16" t="n">
        <v>4</v>
      </c>
      <c r="B62" s="17" t="inlineStr">
        <is>
          <t>Какой твой самый актуальный запрос на сегодня? Чего хочется добиться?</t>
        </is>
      </c>
      <c r="C62" s="18" t="inlineStr">
        <is>
          <t>Открытый ответ</t>
        </is>
      </c>
      <c r="D62" s="18" t="inlineStr">
        <is>
          <t>Зачем: С чем Ева должна помочь в первую очередь</t>
        </is>
      </c>
      <c r="E62" s="19">
        <f>COUNTA(G62:U62)</f>
        <v/>
      </c>
      <c r="F62" s="20" t="inlineStr">
        <is>
          <t>Хочу перестать жить на автопилоте и найти 20 минут в день только для себя.</t>
        </is>
      </c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</row>
    <row r="63" ht="20" customHeight="1">
      <c r="A63" s="14" t="n"/>
      <c r="B63" s="15" t="inlineStr">
        <is>
          <t>Утро и день · 6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</row>
    <row r="64" ht="58" customHeight="1">
      <c r="A64" s="16" t="n">
        <v>5</v>
      </c>
      <c r="B64" s="17" t="inlineStr">
        <is>
          <t>Что ты делаешь в первые 15–30 минут после пробуждения? Есть любимые утренние ритуалы, свои «кайфушки»?</t>
        </is>
      </c>
      <c r="C64" s="18" t="inlineStr">
        <is>
          <t>Открытый ответ</t>
        </is>
      </c>
      <c r="D64" s="18" t="inlineStr">
        <is>
          <t>Зачем: Окно для утренней практики и что уже радует</t>
        </is>
      </c>
      <c r="E64" s="19">
        <f>COUNTA(G64:U64)</f>
        <v/>
      </c>
      <c r="F64" s="20" t="inlineStr">
        <is>
          <t>Сразу дети, завтраки, сборы. Кайфушка — душ с любимым гелем.</t>
        </is>
      </c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</row>
    <row r="65" ht="58" customHeight="1">
      <c r="A65" s="16" t="n">
        <v>6</v>
      </c>
      <c r="B65" s="17" t="inlineStr">
        <is>
          <t>Что повышает тебе настроение?</t>
        </is>
      </c>
      <c r="C65" s="18" t="inlineStr">
        <is>
          <t>Открытый ответ</t>
        </is>
      </c>
      <c r="D65" s="18" t="inlineStr">
        <is>
          <t>Зачем: Источники радости — для контента и пушей</t>
        </is>
      </c>
      <c r="E65" s="19">
        <f>COUNTA(G65:U65)</f>
        <v/>
      </c>
      <c r="F65" s="20" t="inlineStr">
        <is>
          <t>Разговор с подругой и что-то новое — книга, место.</t>
        </is>
      </c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</row>
    <row r="66" ht="58" customHeight="1">
      <c r="A66" s="16" t="n">
        <v>7</v>
      </c>
      <c r="B66" s="17" t="inlineStr">
        <is>
          <t>Успеваешь уделять время себе утром — или день сразу начинается с суеты?</t>
        </is>
      </c>
      <c r="C66" s="18" t="inlineStr">
        <is>
          <t>Открытый ответ</t>
        </is>
      </c>
      <c r="D66" s="18" t="inlineStr">
        <is>
          <t>Зачем: Есть ли место для утренней программы</t>
        </is>
      </c>
      <c r="E66" s="19">
        <f>COUNTA(G66:U66)</f>
        <v/>
      </c>
      <c r="F66" s="20" t="inlineStr">
        <is>
          <t>Нет, день сразу начинается с суеты.</t>
        </is>
      </c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</row>
    <row r="67" ht="58" customHeight="1">
      <c r="A67" s="16" t="n">
        <v>8</v>
      </c>
      <c r="B67" s="17" t="inlineStr">
        <is>
          <t>Опиши свой обычный день от обеда до вечера.</t>
        </is>
      </c>
      <c r="C67" s="18" t="inlineStr">
        <is>
          <t>Открытый ответ</t>
        </is>
      </c>
      <c r="D67" s="18" t="inlineStr">
        <is>
          <t>Зачем: Где в дне паузы и свободные минуты</t>
        </is>
      </c>
      <c r="E67" s="19">
        <f>COUNTA(G67:U67)</f>
        <v/>
      </c>
      <c r="F67" s="20" t="inlineStr">
        <is>
          <t>Работаю до семи, дорога час, вечером готовлю на завтра.</t>
        </is>
      </c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</row>
    <row r="68" ht="58" customHeight="1">
      <c r="A68" s="16" t="n">
        <v>9</v>
      </c>
      <c r="B68" s="17" t="inlineStr">
        <is>
          <t>Бывают ли у тебя паузы в течение дня? Чем ты их заполняешь — Reels, чай, прогулка?</t>
        </is>
      </c>
      <c r="C68" s="18" t="inlineStr">
        <is>
          <t>Открытый ответ</t>
        </is>
      </c>
      <c r="D68" s="18" t="inlineStr">
        <is>
          <t>Зачем: С чем Ева конкурирует за 5 минут внимания</t>
        </is>
      </c>
      <c r="E68" s="19">
        <f>COUNTA(G68:U68)</f>
        <v/>
      </c>
      <c r="F68" s="20" t="inlineStr">
        <is>
          <t>Гуляю с коляской — это и есть пауза, слушаю подкасты.</t>
        </is>
      </c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</row>
    <row r="69" ht="58" customHeight="1">
      <c r="A69" s="16" t="n">
        <v>10</v>
      </c>
      <c r="B69" s="17" t="inlineStr">
        <is>
          <t>В какие моменты ты слушаешь подкасты или музыку?</t>
        </is>
      </c>
      <c r="C69" s="18" t="inlineStr">
        <is>
          <t>Открытый ответ</t>
        </is>
      </c>
      <c r="D69" s="18" t="inlineStr">
        <is>
          <t>Зачем: Где к месту аудиопрактики</t>
        </is>
      </c>
      <c r="E69" s="19">
        <f>COUNTA(G69:U69)</f>
        <v/>
      </c>
      <c r="F69" s="20" t="inlineStr">
        <is>
          <t>В машине и на прогулке с собакой.</t>
        </is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</row>
    <row r="70" ht="20" customHeight="1">
      <c r="A70" s="14" t="n"/>
      <c r="B70" s="15" t="inlineStr">
        <is>
          <t>Вечер и сон · 3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</row>
    <row r="71" ht="58" customHeight="1">
      <c r="A71" s="16" t="n">
        <v>11</v>
      </c>
      <c r="B71" s="17" t="inlineStr">
        <is>
          <t>Легко ли тебе уснуть? Что мешает?</t>
        </is>
      </c>
      <c r="C71" s="18" t="inlineStr">
        <is>
          <t>Открытый ответ</t>
        </is>
      </c>
      <c r="D71" s="18" t="inlineStr">
        <is>
          <t>Зачем: Сон — частая боль: нужен ли вечерний ритуал</t>
        </is>
      </c>
      <c r="E71" s="19">
        <f>COUNTA(G71:U71)</f>
        <v/>
      </c>
      <c r="F71" s="20" t="inlineStr">
        <is>
          <t>Падаю и сразу сплю, но просыпаюсь ночью.</t>
        </is>
      </c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</row>
    <row r="72" ht="58" customHeight="1">
      <c r="A72" s="16" t="n">
        <v>12</v>
      </c>
      <c r="B72" s="17" t="inlineStr">
        <is>
          <t>Как выглядит твой идеальный вечер — и как реальный?</t>
        </is>
      </c>
      <c r="C72" s="18" t="inlineStr">
        <is>
          <t>Открытый ответ</t>
        </is>
      </c>
      <c r="D72" s="18" t="inlineStr">
        <is>
          <t>Зачем: Разрыв между желаемым и тем, как есть</t>
        </is>
      </c>
      <c r="E72" s="19">
        <f>COUNTA(G72:U72)</f>
        <v/>
      </c>
      <c r="F72" s="20" t="inlineStr">
        <is>
          <t>Идеальный — ужин с мужем без телефонов. Реальный — каждый в своём экране.</t>
        </is>
      </c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</row>
    <row r="73" ht="58" customHeight="1">
      <c r="A73" s="16" t="n">
        <v>13</v>
      </c>
      <c r="B73" s="17" t="inlineStr">
        <is>
          <t>Что помогает тебе переключиться с работы и семьи на отдых?</t>
        </is>
      </c>
      <c r="C73" s="18" t="inlineStr">
        <is>
          <t>Открытый ответ</t>
        </is>
      </c>
      <c r="D73" s="18" t="inlineStr">
        <is>
          <t>Зачем: Готовые ритуалы перехода</t>
        </is>
      </c>
      <c r="E73" s="19">
        <f>COUNTA(G73:U73)</f>
        <v/>
      </c>
      <c r="F73" s="20" t="inlineStr">
        <is>
          <t>Душ и смена одежды — как ритуал «работа закончилась».</t>
        </is>
      </c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</row>
    <row r="74" ht="20" customHeight="1">
      <c r="A74" s="14" t="n"/>
      <c r="B74" s="15" t="inlineStr">
        <is>
          <t>Ресурсы: чего хватает и не хватает · 8</t>
        </is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</row>
    <row r="75" ht="58" customHeight="1">
      <c r="A75" s="16" t="n">
        <v>14</v>
      </c>
      <c r="B75" s="17" t="inlineStr">
        <is>
          <t>В какие моменты дня или недели ты чувствуешь себя максимально счастливой и наполненной?</t>
        </is>
      </c>
      <c r="C75" s="18" t="inlineStr">
        <is>
          <t>Открытый ответ</t>
        </is>
      </c>
      <c r="D75" s="18" t="inlineStr">
        <is>
          <t>Зачем: Откуда берётся ресурс</t>
        </is>
      </c>
      <c r="E75" s="19">
        <f>COUNTA(G75:U75)</f>
        <v/>
      </c>
      <c r="F75" s="20" t="inlineStr">
        <is>
          <t>Когда занимаюсь спортом — потом весь день другой.</t>
        </is>
      </c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</row>
    <row r="76" ht="58" customHeight="1">
      <c r="A76" s="16" t="n">
        <v>15</v>
      </c>
      <c r="B76" s="17" t="inlineStr">
        <is>
          <t>Что сейчас больше всего забирает твои силы или настроение? Когда это было в последний раз?</t>
        </is>
      </c>
      <c r="C76" s="18" t="inlineStr">
        <is>
          <t>Открытый ответ</t>
        </is>
      </c>
      <c r="D76" s="18" t="inlineStr">
        <is>
          <t>Зачем: Конкретный случай, а не общие слова</t>
        </is>
      </c>
      <c r="E76" s="19">
        <f>COUNTA(G76:U76)</f>
        <v/>
      </c>
      <c r="F76" s="20" t="inlineStr">
        <is>
          <t>Бытовые мелочи, которые никто кроме меня не видит.</t>
        </is>
      </c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</row>
    <row r="77" ht="58" customHeight="1">
      <c r="A77" s="16" t="n">
        <v>16</v>
      </c>
      <c r="B77" s="17" t="inlineStr">
        <is>
          <t>Когда ты последний раз специально делала что-то для себя — практику, спорт, курс? Как это было?</t>
        </is>
      </c>
      <c r="C77" s="18" t="inlineStr">
        <is>
          <t>Открытый ответ</t>
        </is>
      </c>
      <c r="D77" s="18" t="inlineStr">
        <is>
          <t>Зачем: Реальное поведение, а не намерения</t>
        </is>
      </c>
      <c r="E77" s="19">
        <f>COUNTA(G77:U77)</f>
        <v/>
      </c>
      <c r="F77" s="20" t="inlineStr">
        <is>
          <t>Месяц назад ходила на пилатес, потом отпуск — и выпала.</t>
        </is>
      </c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</row>
    <row r="78" ht="58" customHeight="1">
      <c r="A78" s="16" t="n">
        <v>17</v>
      </c>
      <c r="B78" s="17" t="inlineStr">
        <is>
          <t>Какими приложениями, каналами или курсами «про себя» ты пользуешься? За что платила последний раз и сколько?</t>
        </is>
      </c>
      <c r="C78" s="18" t="inlineStr">
        <is>
          <t>Открытый ответ</t>
        </is>
      </c>
      <c r="D78" s="18" t="inlineStr">
        <is>
          <t>Зачем: Конкуренты и реальный чек</t>
        </is>
      </c>
      <c r="E78" s="19">
        <f>COUNTA(G78:U78)</f>
        <v/>
      </c>
      <c r="F78" s="20" t="inlineStr">
        <is>
          <t>Последний раз купила курс за 7 900 — прошла половину.</t>
        </is>
      </c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</row>
    <row r="79" ht="58" customHeight="1">
      <c r="A79" s="16" t="n">
        <v>18</v>
      </c>
      <c r="B79" s="17" t="inlineStr">
        <is>
          <t>Какая сфера твоей жизни сейчас закрыта лучше всего?</t>
        </is>
      </c>
      <c r="C79" s="18" t="inlineStr">
        <is>
          <t>Открытый ответ</t>
        </is>
      </c>
      <c r="D79" s="18" t="inlineStr">
        <is>
          <t>Зачем: Опора, на которую можно строить</t>
        </is>
      </c>
      <c r="E79" s="19">
        <f>COUNTA(G79:U79)</f>
        <v/>
      </c>
      <c r="F79" s="20" t="inlineStr">
        <is>
          <t>Дружба: у меня классные подруги.</t>
        </is>
      </c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</row>
    <row r="80" ht="58" customHeight="1">
      <c r="A80" s="16" t="n">
        <v>19</v>
      </c>
      <c r="B80" s="17" t="inlineStr">
        <is>
          <t>За что ты благодарна своему нынешнему образу жизни?</t>
        </is>
      </c>
      <c r="C80" s="18" t="inlineStr">
        <is>
          <t>Открытый ответ</t>
        </is>
      </c>
      <c r="D80" s="18" t="inlineStr">
        <is>
          <t>Зачем: Что человек ценит и боится потерять</t>
        </is>
      </c>
      <c r="E80" s="19">
        <f>COUNTA(G80:U80)</f>
        <v/>
      </c>
      <c r="F80" s="20" t="inlineStr">
        <is>
          <t>За гибкий график и то, что дети рядом.</t>
        </is>
      </c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</row>
    <row r="81" ht="58" customHeight="1">
      <c r="A81" s="16" t="n">
        <v>20</v>
      </c>
      <c r="B81" s="17" t="inlineStr">
        <is>
          <t>Чего тебе больше всего не хватает в повседневной жизни — времени на себя, общения, эстетики, дисциплины, тишины?</t>
        </is>
      </c>
      <c r="C81" s="18" t="inlineStr">
        <is>
          <t>Открытый ответ</t>
        </is>
      </c>
      <c r="D81" s="18" t="inlineStr">
        <is>
          <t>Зачем: Дефицит, который Ева может закрыть</t>
        </is>
      </c>
      <c r="E81" s="19">
        <f>COUNTA(G81:U81)</f>
        <v/>
      </c>
      <c r="F81" s="20" t="inlineStr">
        <is>
          <t>Дисциплины — всё начинаю и бросаю.</t>
        </is>
      </c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</row>
    <row r="82" ht="58" customHeight="1">
      <c r="A82" s="16" t="n">
        <v>21</v>
      </c>
      <c r="B82" s="17" t="inlineStr">
        <is>
          <t>Если бы в твоём дне появился лишний час только для себя — на что бы ты его потратила?</t>
        </is>
      </c>
      <c r="C82" s="18" t="inlineStr">
        <is>
          <t>Открытый ответ</t>
        </is>
      </c>
      <c r="D82" s="18" t="inlineStr">
        <is>
          <t>Зачем: Желаемое поведение — подсказка для программы</t>
        </is>
      </c>
      <c r="E82" s="19">
        <f>COUNTA(G82:U82)</f>
        <v/>
      </c>
      <c r="F82" s="20" t="inlineStr">
        <is>
          <t>Почитала бы и помедитировала.</t>
        </is>
      </c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</row>
    <row r="83" ht="20" customHeight="1">
      <c r="A83" s="14" t="n"/>
      <c r="B83" s="15" t="inlineStr">
        <is>
          <t>Где и как смотрит контент · 7</t>
        </is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</row>
    <row r="84" ht="58" customHeight="1">
      <c r="A84" s="16" t="n">
        <v>22</v>
      </c>
      <c r="B84" s="17" t="inlineStr">
        <is>
          <t>Как ты смотришь полезный контент: выделяешь время и сидишь с блокнотом, включаешь фоном за готовкой или в зале, слушаешь в дороге?</t>
        </is>
      </c>
      <c r="C84" s="18" t="inlineStr">
        <is>
          <t>Открытый ответ</t>
        </is>
      </c>
      <c r="D84" s="18" t="inlineStr">
        <is>
          <t>Зачем: Как подавать: смотреть или слушать</t>
        </is>
      </c>
      <c r="E84" s="19">
        <f>COUNTA(G84:U84)</f>
        <v/>
      </c>
      <c r="F84" s="20" t="inlineStr">
        <is>
          <t>Слушаю в дороге и за готовкой, с блокнотом не сажусь никогда.</t>
        </is>
      </c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</row>
    <row r="85" ht="58" customHeight="1">
      <c r="A85" s="16" t="n">
        <v>23</v>
      </c>
      <c r="B85" s="17" t="inlineStr">
        <is>
          <t>Вспомни своё самое любимое приложение на телефоне. Почему именно оно? За что ты его ценишь?</t>
        </is>
      </c>
      <c r="C85" s="18" t="inlineStr">
        <is>
          <t>Открытый ответ</t>
        </is>
      </c>
      <c r="D85" s="18" t="inlineStr">
        <is>
          <t>Зачем: Ориентир по удобству</t>
        </is>
      </c>
      <c r="E85" s="19">
        <f>COUNTA(G85:U85)</f>
        <v/>
      </c>
      <c r="F85" s="20" t="inlineStr">
        <is>
          <t>Duolingo: маленькие шаги и стрик, приятно не терять.</t>
        </is>
      </c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</row>
    <row r="86" ht="58" customHeight="1">
      <c r="A86" s="16" t="n">
        <v>24</v>
      </c>
      <c r="B86" s="17" t="inlineStr">
        <is>
          <t>Что тебя больше всего раздражает в приложениях — из-за чего сразу закрываешь или удаляешь?</t>
        </is>
      </c>
      <c r="C86" s="18" t="inlineStr">
        <is>
          <t>Открытый ответ</t>
        </is>
      </c>
      <c r="D86" s="18" t="inlineStr">
        <is>
          <t>Зачем: Чего не делать в Еве</t>
        </is>
      </c>
      <c r="E86" s="19">
        <f>COUNTA(G86:U86)</f>
        <v/>
      </c>
      <c r="F86" s="20" t="inlineStr">
        <is>
          <t>Сложно найти, где мои мастер-классы — много разделов.</t>
        </is>
      </c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</row>
    <row r="87" ht="58" customHeight="1">
      <c r="A87" s="16" t="n">
        <v>25</v>
      </c>
      <c r="B87" s="17" t="inlineStr">
        <is>
          <t>Как ты относишься к push-уведомлениям? Какие бесят, а какие реально помогают?</t>
        </is>
      </c>
      <c r="C87" s="18" t="inlineStr">
        <is>
          <t>Открытый ответ</t>
        </is>
      </c>
      <c r="D87" s="18" t="inlineStr">
        <is>
          <t>Зачем: Пуши, которые не раздражают</t>
        </is>
      </c>
      <c r="E87" s="19">
        <f>COUNTA(G87:U87)</f>
        <v/>
      </c>
      <c r="F87" s="20" t="inlineStr">
        <is>
          <t>Бесят «вернись к нам», помогают напоминания о том, что я сама поставила.</t>
        </is>
      </c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</row>
    <row r="88" ht="58" customHeight="1">
      <c r="A88" s="16" t="n">
        <v>26</v>
      </c>
      <c r="B88" s="17" t="inlineStr">
        <is>
          <t>Бывает ли у тебя ощущение перегруза? Что его вызывает?</t>
        </is>
      </c>
      <c r="C88" s="18" t="inlineStr">
        <is>
          <t>Открытый ответ</t>
        </is>
      </c>
      <c r="D88" s="18" t="inlineStr">
        <is>
          <t>Зачем: Сколько контента — это уже много</t>
        </is>
      </c>
      <c r="E88" s="19">
        <f>COUNTA(G88:U88)</f>
        <v/>
      </c>
      <c r="F88" s="20" t="inlineStr">
        <is>
          <t>Когда всё срочно и одновременно.</t>
        </is>
      </c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</row>
    <row r="89" ht="58" customHeight="1">
      <c r="A89" s="16" t="n">
        <v>27</v>
      </c>
      <c r="B89" s="17" t="inlineStr">
        <is>
          <t>Сохраняешь ли ты полезное «на потом»? Как часто к нему возвращаешься?</t>
        </is>
      </c>
      <c r="C89" s="18" t="inlineStr">
        <is>
          <t>Открытый ответ</t>
        </is>
      </c>
      <c r="D89" s="18" t="inlineStr">
        <is>
          <t>Зачем: Нужна ли «Моя полка» и напоминания</t>
        </is>
      </c>
      <c r="E89" s="19">
        <f>COUNTA(G89:U89)</f>
        <v/>
      </c>
      <c r="F89" s="20" t="inlineStr">
        <is>
          <t>Не сохраняю — либо сразу, либо никогда.</t>
        </is>
      </c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</row>
    <row r="90" ht="58" customHeight="1">
      <c r="A90" s="16" t="n">
        <v>28</v>
      </c>
      <c r="B90" s="17" t="inlineStr">
        <is>
          <t>Что помогает тебе не просто посмотреть урок, а реально внедрить совет в жизнь — трекеры, шпаргалки, задания?</t>
        </is>
      </c>
      <c r="C90" s="18" t="inlineStr">
        <is>
          <t>Открытый ответ</t>
        </is>
      </c>
      <c r="D90" s="18" t="inlineStr">
        <is>
          <t>Зачем: Механика внедрения в программе</t>
        </is>
      </c>
      <c r="E90" s="19">
        <f>COUNTA(G90:U90)</f>
        <v/>
      </c>
      <c r="F90" s="20" t="inlineStr">
        <is>
          <t>Задание на день и галочка, что сделала.</t>
        </is>
      </c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</row>
    <row r="91" ht="20" customHeight="1">
      <c r="A91" s="14" t="n"/>
      <c r="B91" s="15" t="inlineStr">
        <is>
          <t>Формат и эксперты · 6</t>
        </is>
      </c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</row>
    <row r="92" ht="58" customHeight="1">
      <c r="A92" s="16" t="n">
        <v>29</v>
      </c>
      <c r="B92" s="17" t="inlineStr">
        <is>
          <t>Опиши идеальное обучающее видео для себя: где оно снято, сколько длится, как говорит спикер?</t>
        </is>
      </c>
      <c r="C92" s="18" t="inlineStr">
        <is>
          <t>Открытый ответ</t>
        </is>
      </c>
      <c r="D92" s="18" t="inlineStr">
        <is>
          <t>Зачем: Бриф для съёмок</t>
        </is>
      </c>
      <c r="E92" s="19">
        <f>COUNTA(G92:U92)</f>
        <v/>
      </c>
      <c r="F92" s="20" t="inlineStr">
        <is>
          <t>Как разговор с подругой, без пафоса, 15 минут максимум.</t>
        </is>
      </c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</row>
    <row r="93" ht="58" customHeight="1">
      <c r="A93" s="16" t="n">
        <v>30</v>
      </c>
      <c r="B93" s="17" t="inlineStr">
        <is>
          <t>За какой контент — курсы, гайды, подписки, вебинары — за последний год тебе было совсем не жалко денег? Почему?</t>
        </is>
      </c>
      <c r="C93" s="18" t="inlineStr">
        <is>
          <t>Открытый ответ</t>
        </is>
      </c>
      <c r="D93" s="18" t="inlineStr">
        <is>
          <t>Зачем: За что реально платят</t>
        </is>
      </c>
      <c r="E93" s="19">
        <f>COUNTA(G93:U93)</f>
        <v/>
      </c>
      <c r="F93" s="20" t="inlineStr">
        <is>
          <t>Подписка на книги — слушаю каждый день.</t>
        </is>
      </c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</row>
    <row r="94" ht="58" customHeight="1">
      <c r="A94" s="16" t="n">
        <v>31</v>
      </c>
      <c r="B94" s="17" t="inlineStr">
        <is>
          <t>Как ты выбираешь «своего» эксперта? Как понимаешь, что ему можно доверять?</t>
        </is>
      </c>
      <c r="C94" s="18" t="inlineStr">
        <is>
          <t>Открытый ответ</t>
        </is>
      </c>
      <c r="D94" s="18" t="inlineStr">
        <is>
          <t>Зачем: Как подбирать и показывать экспертов</t>
        </is>
      </c>
      <c r="E94" s="19">
        <f>COUNTA(G94:U94)</f>
        <v/>
      </c>
      <c r="F94" s="20" t="inlineStr">
        <is>
          <t>Смотрю на образование и живые отзывы, а не на количество подписчиков.</t>
        </is>
      </c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</row>
    <row r="95" ht="58" customHeight="1">
      <c r="A95" s="16" t="n">
        <v>32</v>
      </c>
      <c r="B95" s="17" t="inlineStr">
        <is>
          <t>Представь, что в приложении всего 3 раздела. Без каких тем ты бы его точно не скачала?</t>
        </is>
      </c>
      <c r="C95" s="18" t="inlineStr">
        <is>
          <t>Открытый ответ</t>
        </is>
      </c>
      <c r="D95" s="18" t="inlineStr">
        <is>
          <t>Зачем: Ядро продукта</t>
        </is>
      </c>
      <c r="E95" s="19">
        <f>COUNTA(G95:U95)</f>
        <v/>
      </c>
      <c r="F95" s="20" t="inlineStr">
        <is>
          <t>Отношения, деньги, энергия.</t>
        </is>
      </c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</row>
    <row r="96" ht="58" customHeight="1">
      <c r="A96" s="16" t="n">
        <v>33</v>
      </c>
      <c r="B96" s="17" t="inlineStr">
        <is>
          <t>На кого из известных женщин, спикеров или блогеров ты подписана и кого регулярно слушаешь? За что ты их ценишь?</t>
        </is>
      </c>
      <c r="C96" s="18" t="inlineStr">
        <is>
          <t>Открытый ответ</t>
        </is>
      </c>
      <c r="D96" s="18" t="inlineStr">
        <is>
          <t>Зачем: Кого звать в эксперты и амбассадоры</t>
        </is>
      </c>
      <c r="E96" s="19">
        <f>COUNTA(G96:U96)</f>
        <v/>
      </c>
      <c r="F96" s="20" t="inlineStr">
        <is>
          <t>Слушаю Ирину Хакамаду — за спокойствие и опыт.</t>
        </is>
      </c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</row>
    <row r="97" ht="58" customHeight="1">
      <c r="A97" s="16" t="n">
        <v>34</v>
      </c>
      <c r="B97" s="17" t="inlineStr">
        <is>
          <t>Что быстрее привлекает твоё внимание: красивый «кинематографичный» кадр или динамичный разбор на доске или с презентацией?</t>
        </is>
      </c>
      <c r="C97" s="18" t="inlineStr">
        <is>
          <t>Открытый ответ</t>
        </is>
      </c>
      <c r="D97" s="18" t="inlineStr">
        <is>
          <t>Зачем: Визуальный стиль роликов</t>
        </is>
      </c>
      <c r="E97" s="19">
        <f>COUNTA(G97:U97)</f>
        <v/>
      </c>
      <c r="F97" s="20" t="inlineStr">
        <is>
          <t>Красивый кадр цепляет, но остаюсь из-за смысла.</t>
        </is>
      </c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</row>
    <row r="98" ht="20" customHeight="1">
      <c r="A98" s="14" t="n"/>
      <c r="B98" s="15" t="inlineStr">
        <is>
          <t>Механика трансформации · 2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</row>
    <row r="99" ht="58" customHeight="1">
      <c r="A99" s="16" t="n">
        <v>35</v>
      </c>
      <c r="B99" s="17" t="inlineStr">
        <is>
          <t>Вспомни момент, когда ты по-настоящему изменила привычку или взгляд на вещи. Что именно тебе помогло?</t>
        </is>
      </c>
      <c r="C99" s="18" t="inlineStr">
        <is>
          <t>Открытый ответ</t>
        </is>
      </c>
      <c r="D99" s="18" t="inlineStr">
        <is>
          <t>Зачем: Что реально запускает перемены</t>
        </is>
      </c>
      <c r="E99" s="19">
        <f>COUNTA(G99:U99)</f>
        <v/>
      </c>
      <c r="F99" s="20" t="inlineStr">
        <is>
          <t>Начала бегать после разговора с врачом — испугалась.</t>
        </is>
      </c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</row>
    <row r="100" ht="58" customHeight="1">
      <c r="A100" s="16" t="n">
        <v>36</v>
      </c>
      <c r="B100" s="17" t="inlineStr">
        <is>
          <t>Как ты понимаешь, что прошла через трансформацию: изменилось состояние, появились результаты в деньгах или отношениях, стало легко на душе?</t>
        </is>
      </c>
      <c r="C100" s="18" t="inlineStr">
        <is>
          <t>Открытый ответ</t>
        </is>
      </c>
      <c r="D100" s="18" t="inlineStr">
        <is>
          <t>Зачем: Как измерять результат в Еве</t>
        </is>
      </c>
      <c r="E100" s="19">
        <f>COUNTA(G100:U100)</f>
        <v/>
      </c>
      <c r="F100" s="20" t="inlineStr">
        <is>
          <t>Когда окружающие говорят, что я изменилась.</t>
        </is>
      </c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</row>
    <row r="101" ht="20" customHeight="1">
      <c r="A101" s="14" t="n"/>
      <c r="B101" s="15" t="inlineStr">
        <is>
          <t>Рекомендации · 1</t>
        </is>
      </c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</row>
    <row r="102" ht="58" customHeight="1">
      <c r="A102" s="16" t="n">
        <v>37</v>
      </c>
      <c r="B102" s="17" t="inlineStr">
        <is>
          <t>Что должно произойти, чтобы ты сказала подруге «попробуй Еву»? Кому бы ты её посоветовала?</t>
        </is>
      </c>
      <c r="C102" s="18" t="inlineStr">
        <is>
          <t>Открытый ответ</t>
        </is>
      </c>
      <c r="D102" s="18" t="inlineStr">
        <is>
          <t>Зачем: Рекомендации и реферальная программа</t>
        </is>
      </c>
      <c r="E102" s="19">
        <f>COUNTA(G102:U102)</f>
        <v/>
      </c>
      <c r="F102" s="20" t="inlineStr">
        <is>
          <t>Если реально поможет со сном — посоветую сестре и подругам из мамского чата.</t>
        </is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</row>
    <row r="103" ht="58" customHeight="1">
      <c r="A103" s="16" t="inlineStr">
        <is>
          <t>+</t>
        </is>
      </c>
      <c r="B103" s="17" t="inlineStr">
        <is>
          <t>Что ещё важного прозвучало</t>
        </is>
      </c>
      <c r="C103" s="18" t="inlineStr">
        <is>
          <t>Открытый ответ</t>
        </is>
      </c>
      <c r="D103" s="18" t="inlineStr">
        <is>
          <t>Всё, что не попало в вопросы</t>
        </is>
      </c>
      <c r="E103" s="19">
        <f>COUNTA(G103:U103)</f>
        <v/>
      </c>
      <c r="F103" s="20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</row>
    <row r="104" ht="24" customHeight="1">
      <c r="A104" s="12" t="n"/>
      <c r="B104" s="13" t="inlineStr">
        <is>
          <t>3. ИТОГ — сразу после созвона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84" customHeight="1">
      <c r="A105" s="16" t="n"/>
      <c r="B105" s="17" t="inlineStr">
        <is>
          <t>Что услышали (метки)</t>
        </is>
      </c>
      <c r="C105" s="18" t="inlineStr">
        <is>
          <t>Несколько вариантов</t>
        </is>
      </c>
      <c r="D105" s="18" t="inlineStr">
        <is>
          <t>⏳ Нет времени · 💸 Дорого · 📱 Неудобно в приложении · 🔔 Бесят пуши · 🎓 Хочет экспертов · 👭 Хочет сообщество · 🏠 Хочет офлайн · 🧘‍♀️ Любит короткие практики · 🌙 Проблемы со сном · 🤖 Нравится Ева-помощница · 💡 Идея фичи · ❤️ Готова рекомендовать</t>
        </is>
      </c>
      <c r="E105" s="19">
        <f>COUNTA(G105:U105)</f>
        <v/>
      </c>
      <c r="F105" s="20" t="inlineStr">
        <is>
          <t>⏳ Нет времени, 🧘‍♀️ Любит короткие практики, 🔔 Бесят пуши</t>
        </is>
      </c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</row>
    <row r="106" ht="58" customHeight="1">
      <c r="A106" s="16" t="n"/>
      <c r="B106" s="17" t="inlineStr">
        <is>
          <t>Главный инсайт — одной фразой</t>
        </is>
      </c>
      <c r="C106" s="18" t="inlineStr">
        <is>
          <t>Развёрнутый ответ</t>
        </is>
      </c>
      <c r="D106" s="18" t="inlineStr">
        <is>
          <t>Например: бросает практики, когда болеет ребёнок — нужен режим «пауза без чувства вины»</t>
        </is>
      </c>
      <c r="E106" s="19">
        <f>COUNTA(G106:U106)</f>
        <v/>
      </c>
      <c r="F106" s="20" t="inlineStr">
        <is>
          <t>Бросает, когда пропускает пару дней и «сгорают» звёзды — нужен режим паузы без чувства вины.</t>
        </is>
      </c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</row>
    <row r="107" ht="58" customHeight="1">
      <c r="A107" s="16" t="n"/>
      <c r="B107" s="17" t="inlineStr">
        <is>
          <t>Что улучшить в Еве</t>
        </is>
      </c>
      <c r="C107" s="18" t="inlineStr">
        <is>
          <t>Развёрнутый ответ</t>
        </is>
      </c>
      <c r="D107" s="18" t="inlineStr">
        <is>
          <t>Идеи и просьбы</t>
        </is>
      </c>
      <c r="E107" s="19">
        <f>COUNTA(G107:U107)</f>
        <v/>
      </c>
      <c r="F107" s="20" t="inlineStr">
        <is>
          <t>Режим «5 минут», пуши вечером, пауза для звёзд.</t>
        </is>
      </c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</row>
    <row r="108" ht="20" customHeight="1">
      <c r="A108" s="16" t="n"/>
      <c r="B108" s="17" t="inlineStr">
        <is>
          <t>Статус</t>
        </is>
      </c>
      <c r="C108" s="18" t="inlineStr">
        <is>
          <t>Один вариант</t>
        </is>
      </c>
      <c r="D108" s="18" t="inlineStr">
        <is>
          <t>Инсайты собраны · Готова помогать ещё</t>
        </is>
      </c>
      <c r="E108" s="19">
        <f>COUNTA(G108:U108)</f>
        <v/>
      </c>
      <c r="F108" s="20" t="inlineStr">
        <is>
          <t>Инсайты собраны</t>
        </is>
      </c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</row>
  </sheetData>
  <mergeCells count="3">
    <mergeCell ref="A3:B3"/>
    <mergeCell ref="A2:B2"/>
    <mergeCell ref="A1:B1"/>
  </mergeCells>
  <dataValidations count="24">
    <dataValidation sqref="G11:U11" showDropDown="0" showInputMessage="0" showErrorMessage="0" allowBlank="1" type="list">
      <formula1>Списки!$A$1:$A$6</formula1>
    </dataValidation>
    <dataValidation sqref="G14:U14" showDropDown="0" showInputMessage="0" showErrorMessage="0" allowBlank="1" type="list">
      <formula1>Списки!$B$1:$B$13</formula1>
    </dataValidation>
    <dataValidation sqref="G15:U15" showDropDown="0" showInputMessage="0" showErrorMessage="0" allowBlank="1" type="list">
      <formula1>Списки!$C$1:$C$4</formula1>
    </dataValidation>
    <dataValidation sqref="G16:U16" showDropDown="0" showInputMessage="0" showErrorMessage="0" allowBlank="1" type="list">
      <formula1>Списки!$D$1:$D$7</formula1>
    </dataValidation>
    <dataValidation sqref="G17:U17" showDropDown="0" showInputMessage="0" showErrorMessage="0" allowBlank="1" type="list">
      <formula1>Списки!$E$1:$E$7</formula1>
    </dataValidation>
    <dataValidation sqref="G18:U18" showDropDown="0" showInputMessage="0" showErrorMessage="0" allowBlank="1" type="list">
      <formula1>Списки!$F$1:$F$5</formula1>
    </dataValidation>
    <dataValidation sqref="G19:U19" showDropDown="0" showInputMessage="0" showErrorMessage="0" allowBlank="1" type="list">
      <formula1>Списки!$G$1:$G$4</formula1>
    </dataValidation>
    <dataValidation sqref="G22:U22 G23:U23 G24:U24" showDropDown="0" showInputMessage="0" showErrorMessage="0" allowBlank="1" type="list">
      <formula1>"1,2,3,4,5,6,7,8,9,10"</formula1>
    </dataValidation>
    <dataValidation sqref="G26:U26" showDropDown="0" showInputMessage="0" showErrorMessage="0" allowBlank="1" type="list">
      <formula1>Списки!$H$1:$H$9</formula1>
    </dataValidation>
    <dataValidation sqref="G28:U28" showDropDown="0" showInputMessage="0" showErrorMessage="0" allowBlank="1" type="list">
      <formula1>Списки!$I$1:$I$3</formula1>
    </dataValidation>
    <dataValidation sqref="G29:U29" showDropDown="0" showInputMessage="0" showErrorMessage="0" allowBlank="1" type="list">
      <formula1>Списки!$J$1:$J$3</formula1>
    </dataValidation>
    <dataValidation sqref="G31:U31" showDropDown="0" showInputMessage="0" showErrorMessage="0" allowBlank="1" type="list">
      <formula1>Списки!$K$1:$K$6</formula1>
    </dataValidation>
    <dataValidation sqref="G32:U32" showDropDown="0" showInputMessage="0" showErrorMessage="0" allowBlank="1" type="list">
      <formula1>Списки!$L$1:$L$4</formula1>
    </dataValidation>
    <dataValidation sqref="G34:U34" showDropDown="0" showInputMessage="0" showErrorMessage="0" allowBlank="1" type="list">
      <formula1>Списки!$M$1:$M$6</formula1>
    </dataValidation>
    <dataValidation sqref="G35:U35" showDropDown="0" showInputMessage="0" showErrorMessage="0" allowBlank="1" type="list">
      <formula1>Списки!$N$1:$N$6</formula1>
    </dataValidation>
    <dataValidation sqref="G37:U37" showDropDown="0" showInputMessage="0" showErrorMessage="0" allowBlank="1" type="list">
      <formula1>Списки!$O$1:$O$6</formula1>
    </dataValidation>
    <dataValidation sqref="G38:U38" showDropDown="0" showInputMessage="0" showErrorMessage="0" allowBlank="1" type="list">
      <formula1>Списки!$P$1:$P$5</formula1>
    </dataValidation>
    <dataValidation sqref="G42:U42" showDropDown="0" showInputMessage="0" showErrorMessage="0" allowBlank="1" type="list">
      <formula1>Списки!$Q$1:$Q$5</formula1>
    </dataValidation>
    <dataValidation sqref="G43:U43" showDropDown="0" showInputMessage="0" showErrorMessage="0" allowBlank="1" type="list">
      <formula1>Списки!$R$1:$R$4</formula1>
    </dataValidation>
    <dataValidation sqref="G45:U45" showDropDown="0" showInputMessage="0" showErrorMessage="0" allowBlank="1" type="list">
      <formula1>Списки!$S$1:$S$3</formula1>
    </dataValidation>
    <dataValidation sqref="G49:U49" showDropDown="0" showInputMessage="0" showErrorMessage="0" allowBlank="1" type="list">
      <formula1>Списки!$T$1:$T$6</formula1>
    </dataValidation>
    <dataValidation sqref="G51:U51" showDropDown="0" showInputMessage="0" showErrorMessage="0" allowBlank="1" type="list">
      <formula1>Списки!$U$1:$U$7</formula1>
    </dataValidation>
    <dataValidation sqref="G52:U52" showDropDown="0" showInputMessage="0" showErrorMessage="0" allowBlank="1" type="list">
      <formula1>Списки!$V$1:$V$5</formula1>
    </dataValidation>
    <dataValidation sqref="G108:U108" showDropDown="0" showInputMessage="0" showErrorMessage="0" allowBlank="1" type="list">
      <formula1>Списки!$W$1:$W$2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F46B8"/>
    <outlinePr summaryBelow="1" summaryRight="1"/>
    <pageSetUpPr/>
  </sheetPr>
  <dimension ref="A1:P45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7" customWidth="1" min="3" max="3"/>
    <col width="42" customWidth="1" min="4" max="4"/>
    <col width="1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26" customHeight="1">
      <c r="A1" s="10" t="inlineStr">
        <is>
          <t>🎓 Эксперты</t>
        </is>
      </c>
    </row>
    <row r="2" ht="44" customHeight="1">
      <c r="A2" s="11" t="inlineStr">
        <is>
          <t>Подключаем экспертов: что снимаем, когда и на каких условиях. Три шага, как в CRM: Анкета → Созвон → Итог. Обращаемся на «вы».</t>
        </is>
      </c>
    </row>
    <row r="3" ht="32" customHeight="1">
      <c r="A3" s="11" t="inlineStr">
        <is>
          <t>Жёлтые столбцы — для ответов, по одному на человека. Вопросы и варианты можно править прямо здесь.</t>
        </is>
      </c>
    </row>
    <row r="4" ht="30" customHeight="1">
      <c r="A4" s="5" t="inlineStr">
        <is>
          <t>№</t>
        </is>
      </c>
      <c r="B4" s="5" t="inlineStr">
        <is>
          <t>Вопрос</t>
        </is>
      </c>
      <c r="C4" s="5" t="inlineStr">
        <is>
          <t>Как отвечать</t>
        </is>
      </c>
      <c r="D4" s="5" t="inlineStr">
        <is>
          <t>Варианты ответа / зачем спрашиваем</t>
        </is>
      </c>
      <c r="E4" s="5" t="inlineStr">
        <is>
          <t>Ответили</t>
        </is>
      </c>
      <c r="F4" s="5" t="inlineStr">
        <is>
          <t>Пример</t>
        </is>
      </c>
      <c r="G4" s="5">
        <f>IF(G$6="","Человек 1",G$6)</f>
        <v/>
      </c>
      <c r="H4" s="5">
        <f>IF(H$6="","Человек 2",H$6)</f>
        <v/>
      </c>
      <c r="I4" s="5">
        <f>IF(I$6="","Человек 3",I$6)</f>
        <v/>
      </c>
      <c r="J4" s="5">
        <f>IF(J$6="","Человек 4",J$6)</f>
        <v/>
      </c>
      <c r="K4" s="5">
        <f>IF(K$6="","Человек 5",K$6)</f>
        <v/>
      </c>
      <c r="L4" s="5">
        <f>IF(L$6="","Человек 6",L$6)</f>
        <v/>
      </c>
      <c r="M4" s="5">
        <f>IF(M$6="","Человек 7",M$6)</f>
        <v/>
      </c>
      <c r="N4" s="5">
        <f>IF(N$6="","Человек 8",N$6)</f>
        <v/>
      </c>
      <c r="O4" s="5">
        <f>IF(O$6="","Человек 9",O$6)</f>
        <v/>
      </c>
      <c r="P4" s="5">
        <f>IF(P$6="","Человек 10",P$6)</f>
        <v/>
      </c>
    </row>
    <row r="5" ht="24" customHeight="1">
      <c r="A5" s="12" t="n"/>
      <c r="B5" s="13" t="inlineStr">
        <is>
          <t>1. АНКЕТА — человек заполняет сам по ссылке или вы за него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 ht="20" customHeight="1">
      <c r="A6" s="16" t="n">
        <v>1</v>
      </c>
      <c r="B6" s="17" t="inlineStr">
        <is>
          <t>Как вас зовут? ✨</t>
        </is>
      </c>
      <c r="C6" s="18" t="inlineStr">
        <is>
          <t>Короткий ответ</t>
        </is>
      </c>
      <c r="D6" s="18" t="inlineStr">
        <is>
          <t>Подсказка в поле: Имя и фамилия</t>
        </is>
      </c>
      <c r="E6" s="19">
        <f>COUNTA(G6:P6)</f>
        <v/>
      </c>
      <c r="F6" s="20" t="inlineStr">
        <is>
          <t>Марина Ясная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 ht="20" customHeight="1">
      <c r="A7" s="16" t="n">
        <v>2</v>
      </c>
      <c r="B7" s="17" t="inlineStr">
        <is>
          <t>Ваш город 📍</t>
        </is>
      </c>
      <c r="C7" s="18" t="inlineStr">
        <is>
          <t>Короткий ответ</t>
        </is>
      </c>
      <c r="D7" s="18" t="inlineStr">
        <is>
          <t>Подсказка в поле: Москва</t>
        </is>
      </c>
      <c r="E7" s="19">
        <f>COUNTA(G7:P7)</f>
        <v/>
      </c>
      <c r="F7" s="20" t="inlineStr">
        <is>
          <t>Москва</t>
        </is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 ht="71" customHeight="1">
      <c r="A8" s="16" t="n">
        <v>3</v>
      </c>
      <c r="B8" s="17" t="inlineStr">
        <is>
          <t>Ваше направление в Еве — выберите до трёх</t>
        </is>
      </c>
      <c r="C8" s="18" t="inlineStr">
        <is>
          <t>Несколько вариантов (до 3)</t>
        </is>
      </c>
      <c r="D8" s="18" t="inlineStr">
        <is>
          <t>🏋️‍♀️ Фитнес · 🤸‍♀️ Растяжка · 🧠 Психология · ☯️ Цигун · 💌 Аффирмации · 🌬 Медитация и дыхание · 👶 Для мам · 💄 Красота и здоровье · 🧭 Предназначение · 💗 Отношения · 🧘‍♀️ Йога · 🤰 Для беременных · 🌺 Женские практики · 💰 Финансы · ✨ Другое</t>
        </is>
      </c>
      <c r="E8" s="19">
        <f>COUNTA(G8:P8)</f>
        <v/>
      </c>
      <c r="F8" s="20" t="inlineStr">
        <is>
          <t>🧠 Психология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 ht="20" customHeight="1">
      <c r="A9" s="16" t="n">
        <v>4</v>
      </c>
      <c r="B9" s="17" t="inlineStr">
        <is>
          <t>В какой теме вы эксперт? Одной фразой</t>
        </is>
      </c>
      <c r="C9" s="18" t="inlineStr">
        <is>
          <t>Короткий ответ</t>
        </is>
      </c>
      <c r="D9" s="18" t="inlineStr">
        <is>
          <t>Подсказка в поле: Например: дыхание при тревоге</t>
        </is>
      </c>
      <c r="E9" s="19">
        <f>COUNTA(G9:P9)</f>
        <v/>
      </c>
      <c r="F9" s="20" t="inlineStr">
        <is>
          <t>Самокритика и внутренний критик</t>
        </is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 ht="32" customHeight="1">
      <c r="A10" s="16" t="n">
        <v>5</v>
      </c>
      <c r="B10" s="17" t="inlineStr">
        <is>
          <t>Сколько лет в профессии?</t>
        </is>
      </c>
      <c r="C10" s="18" t="inlineStr">
        <is>
          <t>Один вариант</t>
        </is>
      </c>
      <c r="D10" s="18" t="inlineStr">
        <is>
          <t>до года · 1–3 года · 3–5 лет · 5–10 лет · больше 10 лет</t>
        </is>
      </c>
      <c r="E10" s="19">
        <f>COUNTA(G10:P10)</f>
        <v/>
      </c>
      <c r="F10" s="20" t="inlineStr">
        <is>
          <t>больше 10 лет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 ht="32" customHeight="1">
      <c r="A11" s="16" t="n">
        <v>6</v>
      </c>
      <c r="B11" s="17" t="inlineStr">
        <is>
          <t>Образование по профилю 🎓</t>
        </is>
      </c>
      <c r="C11" s="18" t="inlineStr">
        <is>
          <t>Один вариант</t>
        </is>
      </c>
      <c r="D11" s="18" t="inlineStr">
        <is>
          <t>Диплом по профилю · Сертификаты и курсы · Большая практика без документов</t>
        </is>
      </c>
      <c r="E11" s="19">
        <f>COUNTA(G11:P11)</f>
        <v/>
      </c>
      <c r="F11" s="20" t="inlineStr">
        <is>
          <t>Сертификаты и курсы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58" customHeight="1">
      <c r="A12" s="16" t="n">
        <v>7</v>
      </c>
      <c r="B12" s="17" t="inlineStr">
        <is>
          <t>Что у вас уже есть? 📦</t>
        </is>
      </c>
      <c r="C12" s="18" t="inlineStr">
        <is>
          <t>Несколько вариантов</t>
        </is>
      </c>
      <c r="D12" s="18" t="inlineStr">
        <is>
          <t>🎬 Записанный курс · 📡 Живой курс или марафон · 🎓 Мастер-классы · 🧘‍♀️ Практики и медитации · 💬 Консультации · 🏠 Офлайн-встречи и ретриты · ✨ Пока ничего</t>
        </is>
      </c>
      <c r="E12" s="19">
        <f>COUNTA(G12:P12)</f>
        <v/>
      </c>
      <c r="F12" s="20" t="inlineStr">
        <is>
          <t>💬 Консультации, 🧘‍♀️ Практики и медитации, 🎓 Мастер-классы, 🎬 Записанный курс</t>
        </is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32" customHeight="1">
      <c r="A13" s="16" t="n">
        <v>8</v>
      </c>
      <c r="B13" s="17" t="inlineStr">
        <is>
          <t>Хотите снять курс вместе с Евой? 🎥</t>
        </is>
      </c>
      <c r="C13" s="18" t="inlineStr">
        <is>
          <t>Один вариант</t>
        </is>
      </c>
      <c r="D13" s="18" t="inlineStr">
        <is>
          <t>🔥 Да, уже есть идея · 🤔 Возможно, обсудим · 📦 Есть готовый — хочу разместить · 🙅‍♀️ Пока нет</t>
        </is>
      </c>
      <c r="E13" s="19">
        <f>COUNTA(G13:P13)</f>
        <v/>
      </c>
      <c r="F13" s="20" t="inlineStr">
        <is>
          <t>🔥 Да, уже есть идея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58" customHeight="1">
      <c r="A14" s="16" t="n">
        <v>9</v>
      </c>
      <c r="B14" s="17" t="inlineStr">
        <is>
          <t>Что можем записать с вами? 🎬</t>
        </is>
      </c>
      <c r="C14" s="18" t="inlineStr">
        <is>
          <t>Несколько вариантов</t>
        </is>
      </c>
      <c r="D14" s="18" t="inlineStr">
        <is>
          <t>💌 Послания и аффирмации (1–2 мин) · 🧘‍♀️ Короткие практики (5–15 мин) · 🎓 Мастер-класс (20–40 мин) · 📚 Курс · 📡 Эфир или вопрос-ответ · 🏠 Офлайн-встречу</t>
        </is>
      </c>
      <c r="E14" s="19">
        <f>COUNTA(G14:P14)</f>
        <v/>
      </c>
      <c r="F14" s="20" t="inlineStr">
        <is>
          <t>📚 Курс, 🎓 Мастер-класс (20–40 мин), 💌 Послания и аффирмации (1–2 мин), 🧘‍♀️ Короткие практики (5–15 мин)</t>
        </is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 ht="32" customHeight="1">
      <c r="A15" s="16" t="n">
        <v>10</v>
      </c>
      <c r="B15" s="17" t="inlineStr">
        <is>
          <t>Где удобнее снимать?</t>
        </is>
      </c>
      <c r="C15" s="18" t="inlineStr">
        <is>
          <t>Один вариант</t>
        </is>
      </c>
      <c r="D15" s="18" t="inlineStr">
        <is>
          <t>🏙 Приеду в студию в Москве · 🎥 Есть своя качественная съёмка · 💻 Только онлайн · 🤝 Обсудим</t>
        </is>
      </c>
      <c r="E15" s="19">
        <f>COUNTA(G15:P15)</f>
        <v/>
      </c>
      <c r="F15" s="20" t="inlineStr">
        <is>
          <t>🎥 Есть своя качественная съёмка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 ht="20" customHeight="1">
      <c r="A16" s="16" t="n">
        <v>11</v>
      </c>
      <c r="B16" s="17" t="inlineStr">
        <is>
          <t>Сколько времени готовы выделить на съёмки? 📅</t>
        </is>
      </c>
      <c r="C16" s="18" t="inlineStr">
        <is>
          <t>Один вариант</t>
        </is>
      </c>
      <c r="D16" s="18" t="inlineStr">
        <is>
          <t>1 день · 2–3 дня · Регулярно, раз в месяц</t>
        </is>
      </c>
      <c r="E16" s="19">
        <f>COUNTA(G16:P16)</f>
        <v/>
      </c>
      <c r="F16" s="20" t="inlineStr">
        <is>
          <t>Регулярно, раз в месяц</t>
        </is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 ht="32" customHeight="1">
      <c r="A17" s="16" t="n">
        <v>12</v>
      </c>
      <c r="B17" s="17" t="inlineStr">
        <is>
          <t>Ваша аудитория в соцсетях 👥</t>
        </is>
      </c>
      <c r="C17" s="18" t="inlineStr">
        <is>
          <t>Один вариант</t>
        </is>
      </c>
      <c r="D17" s="18" t="inlineStr">
        <is>
          <t>Пока нет · До 1 тыс. · 1–10 тыс. · 10–50 тыс. · Больше 50 тыс.</t>
        </is>
      </c>
      <c r="E17" s="19">
        <f>COUNTA(G17:P17)</f>
        <v/>
      </c>
      <c r="F17" s="20" t="inlineStr">
        <is>
          <t>10–50 тыс.</t>
        </is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 ht="32" customHeight="1">
      <c r="A18" s="16" t="n">
        <v>13</v>
      </c>
      <c r="B18" s="17" t="inlineStr">
        <is>
          <t>Где ваша аудитория?</t>
        </is>
      </c>
      <c r="C18" s="18" t="inlineStr">
        <is>
          <t>Несколько вариантов</t>
        </is>
      </c>
      <c r="D18" s="18" t="inlineStr">
        <is>
          <t>Telegram · ВКонтакте · YouTube · Instagram* · Дзен · Офлайн</t>
        </is>
      </c>
      <c r="E18" s="19">
        <f>COUNTA(G18:P18)</f>
        <v/>
      </c>
      <c r="F18" s="20" t="inlineStr">
        <is>
          <t>Telegram, Instagram*</t>
        </is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45" customHeight="1">
      <c r="A19" s="16" t="n">
        <v>14</v>
      </c>
      <c r="B19" s="17" t="inlineStr">
        <is>
          <t>Какой формат сотрудничества интересен? 🤝</t>
        </is>
      </c>
      <c r="C19" s="18" t="inlineStr">
        <is>
          <t>Несколько вариантов</t>
        </is>
      </c>
      <c r="D19" s="18" t="inlineStr">
        <is>
          <t>💰 Доля с продаж курсов · 💵 Фикс за съёмку · 💬 Консультации через Еву · 📣 Продвижение моего бренда · 🤷‍♀️ Всё обсуждаемо</t>
        </is>
      </c>
      <c r="E19" s="19">
        <f>COUNTA(G19:P19)</f>
        <v/>
      </c>
      <c r="F19" s="20" t="inlineStr">
        <is>
          <t>📣 Продвижение моего бренда, 💬 Консультации через Еву</t>
        </is>
      </c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 ht="32" customHeight="1">
      <c r="A20" s="16" t="n">
        <v>15</v>
      </c>
      <c r="B20" s="17" t="inlineStr">
        <is>
          <t>Сколько стоит ваша консультация?</t>
        </is>
      </c>
      <c r="C20" s="18" t="inlineStr">
        <is>
          <t>Один вариант</t>
        </is>
      </c>
      <c r="D20" s="18" t="inlineStr">
        <is>
          <t>До 3 000 ₽ · 3 000–6 000 ₽ · 6 000–10 000 ₽ · Больше 10 000 ₽ · Не консультирую</t>
        </is>
      </c>
      <c r="E20" s="19">
        <f>COUNTA(G20:P20)</f>
        <v/>
      </c>
      <c r="F20" s="20" t="inlineStr">
        <is>
          <t>6 000–10 000 ₽</t>
        </is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 ht="20" customHeight="1">
      <c r="A21" s="16" t="n">
        <v>16</v>
      </c>
      <c r="B21" s="17" t="inlineStr">
        <is>
          <t>Где посмотреть на вашу работу? 🔗</t>
        </is>
      </c>
      <c r="C21" s="18" t="inlineStr">
        <is>
          <t>Короткий ответ</t>
        </is>
      </c>
      <c r="D21" s="18" t="inlineStr">
        <is>
          <t>Подсказка в поле: Ссылка на канал или сайт</t>
        </is>
      </c>
      <c r="E21" s="19">
        <f>COUNTA(G21:P21)</f>
        <v/>
      </c>
      <c r="F21" s="20" t="inlineStr">
        <is>
          <t>t.me/marina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 ht="20" customHeight="1">
      <c r="A22" s="16" t="n">
        <v>17</v>
      </c>
      <c r="B22" s="17" t="inlineStr">
        <is>
          <t>Telegram или телефон для связи 📲</t>
        </is>
      </c>
      <c r="C22" s="18" t="inlineStr">
        <is>
          <t>Короткий ответ</t>
        </is>
      </c>
      <c r="D22" s="18" t="inlineStr">
        <is>
          <t>Подсказка в поле: @username или +7…</t>
        </is>
      </c>
      <c r="E22" s="19">
        <f>COUNTA(G22:P22)</f>
        <v/>
      </c>
      <c r="F22" s="20" t="inlineStr">
        <is>
          <t>@marina</t>
        </is>
      </c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24" customHeight="1">
      <c r="A23" s="12" t="n"/>
      <c r="B23" s="13" t="inlineStr">
        <is>
          <t>2. СОЗВОН — открытые вопросы для Zoom, 20–30 минут. Записывайте коротко, своими словами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 ht="20" customHeight="1">
      <c r="A24" s="16" t="n"/>
      <c r="B24" s="17" t="inlineStr">
        <is>
          <t>Дата созвона</t>
        </is>
      </c>
      <c r="C24" s="18" t="inlineStr">
        <is>
          <t>Дата</t>
        </is>
      </c>
      <c r="D24" s="18" t="inlineStr">
        <is>
          <t>Например: 25.09.2026</t>
        </is>
      </c>
      <c r="E24" s="19">
        <f>COUNTA(G24:P24)</f>
        <v/>
      </c>
      <c r="F24" s="20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</row>
    <row r="25" ht="20" customHeight="1">
      <c r="A25" s="16" t="n"/>
      <c r="B25" s="17" t="inlineStr">
        <is>
          <t>Кто вёл</t>
        </is>
      </c>
      <c r="C25" s="18" t="inlineStr">
        <is>
          <t>Короткий ответ</t>
        </is>
      </c>
      <c r="D25" s="18" t="inlineStr">
        <is>
          <t>Имя из команды</t>
        </is>
      </c>
      <c r="E25" s="19">
        <f>COUNTA(G25:P25)</f>
        <v/>
      </c>
      <c r="F25" s="20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58" customHeight="1">
      <c r="A26" s="16" t="n">
        <v>1</v>
      </c>
      <c r="B26" s="17" t="inlineStr">
        <is>
          <t>С чем к вам чаще всего приходят женщины? Какой результат они получают?</t>
        </is>
      </c>
      <c r="C26" s="18" t="inlineStr">
        <is>
          <t>Открытый ответ</t>
        </is>
      </c>
      <c r="D26" s="18" t="inlineStr">
        <is>
          <t>Зачем: Ценность эксперта для нашей аудитории</t>
        </is>
      </c>
      <c r="E26" s="19">
        <f>COUNTA(G26:P26)</f>
        <v/>
      </c>
      <c r="F26" s="20" t="inlineStr">
        <is>
          <t>С тревогой и ощущением «я плохая мама». Через месяц практик — спокойнее реагируют и лучше спят.</t>
        </is>
      </c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58" customHeight="1">
      <c r="A27" s="16" t="n">
        <v>2</v>
      </c>
      <c r="B27" s="17" t="inlineStr">
        <is>
          <t>Как сейчас устроена ваша работа: откуда клиенты, что продаёте, что приносит больше всего?</t>
        </is>
      </c>
      <c r="C27" s="18" t="inlineStr">
        <is>
          <t>Открытый ответ</t>
        </is>
      </c>
      <c r="D27" s="18" t="inlineStr">
        <is>
          <t>Зачем: Бизнес эксперта и его мотивация</t>
        </is>
      </c>
      <c r="E27" s="19">
        <f>COUNTA(G27:P27)</f>
        <v/>
      </c>
      <c r="F27" s="20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</row>
    <row r="28" ht="58" customHeight="1">
      <c r="A28" s="16" t="n">
        <v>3</v>
      </c>
      <c r="B28" s="17" t="inlineStr">
        <is>
          <t>Какие продукты у вас уже есть — курсы, мастер-классы, практики? Что лучше всего покупают?</t>
        </is>
      </c>
      <c r="C28" s="18" t="inlineStr">
        <is>
          <t>Открытый ответ</t>
        </is>
      </c>
      <c r="D28" s="18" t="inlineStr">
        <is>
          <t>Зачем: Готовый контент для Евы</t>
        </is>
      </c>
      <c r="E28" s="19">
        <f>COUNTA(G28:P28)</f>
        <v/>
      </c>
      <c r="F28" s="20" t="inlineStr">
        <is>
          <t>Есть курс из 6 уроков и 10 практик. Лучше всего покупают короткие практики по 10 минут.</t>
        </is>
      </c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58" customHeight="1">
      <c r="A29" s="16" t="n">
        <v>4</v>
      </c>
      <c r="B29" s="17" t="inlineStr">
        <is>
          <t>Что вы давно хотели снять, но пока не сняли? Что мешает?</t>
        </is>
      </c>
      <c r="C29" s="18" t="inlineStr">
        <is>
          <t>Открытый ответ</t>
        </is>
      </c>
      <c r="D29" s="18" t="inlineStr">
        <is>
          <t>Зачем: Идеи для совместных съёмок</t>
        </is>
      </c>
      <c r="E29" s="19">
        <f>COUNTA(G29:P29)</f>
        <v/>
      </c>
      <c r="F29" s="20" t="inlineStr">
        <is>
          <t>Давно хочу снять курс про утренние ритуалы — нет оператора и времени на монтаж.</t>
        </is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</row>
    <row r="30" ht="58" customHeight="1">
      <c r="A30" s="16" t="n">
        <v>5</v>
      </c>
      <c r="B30" s="17" t="inlineStr">
        <is>
          <t>Какой опыт был с онлайн-школами и платформами? Что понравилось, что нет?</t>
        </is>
      </c>
      <c r="C30" s="18" t="inlineStr">
        <is>
          <t>Открытый ответ</t>
        </is>
      </c>
      <c r="D30" s="18" t="inlineStr">
        <is>
          <t>Зачем: Ожидания и страхи</t>
        </is>
      </c>
      <c r="E30" s="19">
        <f>COUNTA(G30:P30)</f>
        <v/>
      </c>
      <c r="F30" s="20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58" customHeight="1">
      <c r="A31" s="16" t="n">
        <v>6</v>
      </c>
      <c r="B31" s="17" t="inlineStr">
        <is>
          <t>Как вы относитесь к коротким форматам: практика на 7 минут, послание на 1 минуту?</t>
        </is>
      </c>
      <c r="C31" s="18" t="inlineStr">
        <is>
          <t>Открытый ответ</t>
        </is>
      </c>
      <c r="D31" s="18" t="inlineStr">
        <is>
          <t>Зачем: Подходит ли формат Евы</t>
        </is>
      </c>
      <c r="E31" s="19">
        <f>COUNTA(G31:P31)</f>
        <v/>
      </c>
      <c r="F31" s="20" t="inlineStr">
        <is>
          <t>Короткие форматы люблю: люди реально их делают.</t>
        </is>
      </c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 ht="58" customHeight="1">
      <c r="A32" s="16" t="n">
        <v>7</v>
      </c>
      <c r="B32" s="17" t="inlineStr">
        <is>
          <t>Кто ваш идеальный клиент? Похож ли он на наших участниц — женщины 25–45?</t>
        </is>
      </c>
      <c r="C32" s="18" t="inlineStr">
        <is>
          <t>Открытый ответ</t>
        </is>
      </c>
      <c r="D32" s="18" t="inlineStr">
        <is>
          <t>Зачем: Совпадение аудиторий</t>
        </is>
      </c>
      <c r="E32" s="19">
        <f>COUNTA(G32:P32)</f>
        <v/>
      </c>
      <c r="F32" s="20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58" customHeight="1">
      <c r="A33" s="16" t="n">
        <v>8</v>
      </c>
      <c r="B33" s="17" t="inlineStr">
        <is>
          <t>Какие темы в вашем направлении сейчас спрашивают чаще всего?</t>
        </is>
      </c>
      <c r="C33" s="18" t="inlineStr">
        <is>
          <t>Открытый ответ</t>
        </is>
      </c>
      <c r="D33" s="18" t="inlineStr">
        <is>
          <t>Зачем: Темы курсов с гарантированным спросом</t>
        </is>
      </c>
      <c r="E33" s="19">
        <f>COUNTA(G33:P33)</f>
        <v/>
      </c>
      <c r="F33" s="20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</row>
    <row r="34" ht="58" customHeight="1">
      <c r="A34" s="16" t="n">
        <v>9</v>
      </c>
      <c r="B34" s="17" t="inlineStr">
        <is>
          <t>Сколько времени в месяц вы готовы отдавать Еве: съёмки, эфиры, ответы в сообществе?</t>
        </is>
      </c>
      <c r="C34" s="18" t="inlineStr">
        <is>
          <t>Открытый ответ</t>
        </is>
      </c>
      <c r="D34" s="18" t="inlineStr">
        <is>
          <t>Зачем: Реальная загрузка</t>
        </is>
      </c>
      <c r="E34" s="19">
        <f>COUNTA(G34:P34)</f>
        <v/>
      </c>
      <c r="F34" s="20" t="inlineStr">
        <is>
          <t>Могу два съёмочных дня в месяц и эфир раз в две недели.</t>
        </is>
      </c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</row>
    <row r="35" ht="58" customHeight="1">
      <c r="A35" s="16" t="n">
        <v>10</v>
      </c>
      <c r="B35" s="17" t="inlineStr">
        <is>
          <t>Что для вас важно в сотрудничестве: деньги, аудитория, бренд, свобода?</t>
        </is>
      </c>
      <c r="C35" s="18" t="inlineStr">
        <is>
          <t>Открытый ответ</t>
        </is>
      </c>
      <c r="D35" s="18" t="inlineStr">
        <is>
          <t>Зачем: На чём строить условия</t>
        </is>
      </c>
      <c r="E35" s="19">
        <f>COUNTA(G35:P35)</f>
        <v/>
      </c>
      <c r="F35" s="20" t="inlineStr">
        <is>
          <t>Важно, чтобы меня указывали как автора и была прозрачная отчётность по продажам.</t>
        </is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</row>
    <row r="36" ht="58" customHeight="1">
      <c r="A36" s="16" t="n">
        <v>11</v>
      </c>
      <c r="B36" s="17" t="inlineStr">
        <is>
          <t>Готовы рассказать своей аудитории про Еву? Как бы вы это сделали?</t>
        </is>
      </c>
      <c r="C36" s="18" t="inlineStr">
        <is>
          <t>Открытый ответ</t>
        </is>
      </c>
      <c r="D36" s="18" t="inlineStr">
        <is>
          <t>Зачем: Эксперт как канал привлечения</t>
        </is>
      </c>
      <c r="E36" s="19">
        <f>COUNTA(G36:P36)</f>
        <v/>
      </c>
      <c r="F36" s="20" t="inlineStr">
        <is>
          <t>Да, расскажу в канале и в сторис — у меня 12 тысяч подписчиц.</t>
        </is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58" customHeight="1">
      <c r="A37" s="16" t="n">
        <v>12</v>
      </c>
      <c r="B37" s="17" t="inlineStr">
        <is>
          <t>Что должно быть в договоре, чтобы вам было спокойно?</t>
        </is>
      </c>
      <c r="C37" s="18" t="inlineStr">
        <is>
          <t>Открытый ответ</t>
        </is>
      </c>
      <c r="D37" s="18" t="inlineStr">
        <is>
          <t>Зачем: Снять страхи заранее</t>
        </is>
      </c>
      <c r="E37" s="19">
        <f>COUNTA(G37:P37)</f>
        <v/>
      </c>
      <c r="F37" s="20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</row>
    <row r="38" ht="58" customHeight="1">
      <c r="A38" s="16" t="n">
        <v>13</v>
      </c>
      <c r="B38" s="17" t="inlineStr">
        <is>
          <t>Кого из коллег вы бы нам порекомендовали?</t>
        </is>
      </c>
      <c r="C38" s="18" t="inlineStr">
        <is>
          <t>Открытый ответ</t>
        </is>
      </c>
      <c r="D38" s="18" t="inlineStr">
        <is>
          <t>Зачем: Следующие эксперты</t>
        </is>
      </c>
      <c r="E38" s="19">
        <f>COUNTA(G38:P38)</f>
        <v/>
      </c>
      <c r="F38" s="20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  <row r="39" ht="58" customHeight="1">
      <c r="A39" s="16" t="inlineStr">
        <is>
          <t>+</t>
        </is>
      </c>
      <c r="B39" s="17" t="inlineStr">
        <is>
          <t>Что ещё важного прозвучало</t>
        </is>
      </c>
      <c r="C39" s="18" t="inlineStr">
        <is>
          <t>Открытый ответ</t>
        </is>
      </c>
      <c r="D39" s="18" t="inlineStr">
        <is>
          <t>Всё, что не попало в вопросы</t>
        </is>
      </c>
      <c r="E39" s="19">
        <f>COUNTA(G39:P39)</f>
        <v/>
      </c>
      <c r="F39" s="20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</row>
    <row r="40" ht="24" customHeight="1">
      <c r="A40" s="12" t="n"/>
      <c r="B40" s="13" t="inlineStr">
        <is>
          <t>3. ИТОГ — сразу после созвона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 ht="20" customHeight="1">
      <c r="A41" s="16" t="n"/>
      <c r="B41" s="17" t="inlineStr">
        <is>
          <t>Решение</t>
        </is>
      </c>
      <c r="C41" s="18" t="inlineStr">
        <is>
          <t>Один вариант</t>
        </is>
      </c>
      <c r="D41" s="18" t="inlineStr">
        <is>
          <t>Подключаем · Думает · Не сейчас</t>
        </is>
      </c>
      <c r="E41" s="19">
        <f>COUNTA(G41:P41)</f>
        <v/>
      </c>
      <c r="F41" s="20" t="inlineStr">
        <is>
          <t>Подключаем</t>
        </is>
      </c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 ht="45" customHeight="1">
      <c r="A42" s="16" t="n"/>
      <c r="B42" s="17" t="inlineStr">
        <is>
          <t>О чём договорились</t>
        </is>
      </c>
      <c r="C42" s="18" t="inlineStr">
        <is>
          <t>Несколько вариантов</t>
        </is>
      </c>
      <c r="D42" s="18" t="inlineStr">
        <is>
          <t>💌 Послания · 🧘‍♀️ Практики · 🎓 Мастер-класс · 📚 Курс · 📡 Эфир · 🏠 Офлайн-встреча · 📦 Готовый курс · 📣 Расскажет аудитории</t>
        </is>
      </c>
      <c r="E42" s="19">
        <f>COUNTA(G42:P42)</f>
        <v/>
      </c>
      <c r="F42" s="20" t="inlineStr">
        <is>
          <t>🎓 Мастер-класс, 📚 Курс, 📣 Расскажет аудитории</t>
        </is>
      </c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 ht="32" customHeight="1">
      <c r="A43" s="16" t="n"/>
      <c r="B43" s="17" t="inlineStr">
        <is>
          <t>Следующий шаг</t>
        </is>
      </c>
      <c r="C43" s="18" t="inlineStr">
        <is>
          <t>Короткий ответ</t>
        </is>
      </c>
      <c r="D43" s="18" t="inlineStr">
        <is>
          <t>Например: съёмка 3 практик</t>
        </is>
      </c>
      <c r="E43" s="19">
        <f>COUNTA(G43:P43)</f>
        <v/>
      </c>
      <c r="F43" s="20" t="inlineStr">
        <is>
          <t>Съёмка мастер-класса «Как перестать себя ругать»</t>
        </is>
      </c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 ht="20" customHeight="1">
      <c r="A44" s="16" t="n"/>
      <c r="B44" s="17" t="inlineStr">
        <is>
          <t>Когда</t>
        </is>
      </c>
      <c r="C44" s="18" t="inlineStr">
        <is>
          <t>Дата</t>
        </is>
      </c>
      <c r="D44" s="18" t="inlineStr">
        <is>
          <t>Например: 10.10.2026</t>
        </is>
      </c>
      <c r="E44" s="19">
        <f>COUNTA(G44:P44)</f>
        <v/>
      </c>
      <c r="F44" s="20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</row>
    <row r="45" ht="58" customHeight="1">
      <c r="A45" s="16" t="n"/>
      <c r="B45" s="17" t="inlineStr">
        <is>
          <t>Заметка</t>
        </is>
      </c>
      <c r="C45" s="18" t="inlineStr">
        <is>
          <t>Развёрнутый ответ</t>
        </is>
      </c>
      <c r="D45" s="18" t="inlineStr">
        <is>
          <t>Условия, договорённости, что важно помнить</t>
        </is>
      </c>
      <c r="E45" s="19">
        <f>COUNTA(G45:P45)</f>
        <v/>
      </c>
      <c r="F45" s="20" t="inlineStr">
        <is>
          <t>Доля 70/30 ок. Хочет курс из 6 уроков к декабрю.</t>
        </is>
      </c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</sheetData>
  <mergeCells count="3">
    <mergeCell ref="A3:B3"/>
    <mergeCell ref="A2:B2"/>
    <mergeCell ref="A1:B1"/>
  </mergeCells>
  <dataValidations count="8">
    <dataValidation sqref="G10:P10" showDropDown="0" showInputMessage="0" showErrorMessage="0" allowBlank="1" type="list">
      <formula1>Списки!$X$1:$X$5</formula1>
    </dataValidation>
    <dataValidation sqref="G11:P11" showDropDown="0" showInputMessage="0" showErrorMessage="0" allowBlank="1" type="list">
      <formula1>Списки!$Y$1:$Y$3</formula1>
    </dataValidation>
    <dataValidation sqref="G13:P13" showDropDown="0" showInputMessage="0" showErrorMessage="0" allowBlank="1" type="list">
      <formula1>Списки!$Z$1:$Z$4</formula1>
    </dataValidation>
    <dataValidation sqref="G15:P15" showDropDown="0" showInputMessage="0" showErrorMessage="0" allowBlank="1" type="list">
      <formula1>Списки!$AA$1:$AA$4</formula1>
    </dataValidation>
    <dataValidation sqref="G16:P16" showDropDown="0" showInputMessage="0" showErrorMessage="0" allowBlank="1" type="list">
      <formula1>Списки!$AB$1:$AB$3</formula1>
    </dataValidation>
    <dataValidation sqref="G17:P17" showDropDown="0" showInputMessage="0" showErrorMessage="0" allowBlank="1" type="list">
      <formula1>Списки!$AC$1:$AC$5</formula1>
    </dataValidation>
    <dataValidation sqref="G20:P20" showDropDown="0" showInputMessage="0" showErrorMessage="0" allowBlank="1" type="list">
      <formula1>Списки!$AD$1:$AD$5</formula1>
    </dataValidation>
    <dataValidation sqref="G41:P41" showDropDown="0" showInputMessage="0" showErrorMessage="0" allowBlank="1" type="list">
      <formula1>Списки!$AE$1:$AE$3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3734F"/>
    <outlinePr summaryBelow="1" summaryRight="1"/>
    <pageSetUpPr/>
  </sheetPr>
  <dimension ref="A1:P38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7" customWidth="1" min="3" max="3"/>
    <col width="42" customWidth="1" min="4" max="4"/>
    <col width="1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26" customHeight="1">
      <c r="A1" s="10" t="inlineStr">
        <is>
          <t>🤝 Партнёры</t>
        </is>
      </c>
    </row>
    <row r="2" ht="44" customHeight="1">
      <c r="A2" s="11" t="inlineStr">
        <is>
          <t>Салоны, студии и бренды: взаимный промо и спецпредложения. Три шага, как в CRM: Анкета → Встреча → Итог. Обращаемся на «вы».</t>
        </is>
      </c>
    </row>
    <row r="3" ht="32" customHeight="1">
      <c r="A3" s="11" t="inlineStr">
        <is>
          <t>Жёлтые столбцы — для ответов, по одному на человека. Вопросы и варианты можно править прямо здесь.</t>
        </is>
      </c>
    </row>
    <row r="4" ht="30" customHeight="1">
      <c r="A4" s="5" t="inlineStr">
        <is>
          <t>№</t>
        </is>
      </c>
      <c r="B4" s="5" t="inlineStr">
        <is>
          <t>Вопрос</t>
        </is>
      </c>
      <c r="C4" s="5" t="inlineStr">
        <is>
          <t>Как отвечать</t>
        </is>
      </c>
      <c r="D4" s="5" t="inlineStr">
        <is>
          <t>Варианты ответа / зачем спрашиваем</t>
        </is>
      </c>
      <c r="E4" s="5" t="inlineStr">
        <is>
          <t>Ответили</t>
        </is>
      </c>
      <c r="F4" s="5" t="inlineStr">
        <is>
          <t>Пример</t>
        </is>
      </c>
      <c r="G4" s="5">
        <f>IF(G$6="","Человек 1",G$6)</f>
        <v/>
      </c>
      <c r="H4" s="5">
        <f>IF(H$6="","Человек 2",H$6)</f>
        <v/>
      </c>
      <c r="I4" s="5">
        <f>IF(I$6="","Человек 3",I$6)</f>
        <v/>
      </c>
      <c r="J4" s="5">
        <f>IF(J$6="","Человек 4",J$6)</f>
        <v/>
      </c>
      <c r="K4" s="5">
        <f>IF(K$6="","Человек 5",K$6)</f>
        <v/>
      </c>
      <c r="L4" s="5">
        <f>IF(L$6="","Человек 6",L$6)</f>
        <v/>
      </c>
      <c r="M4" s="5">
        <f>IF(M$6="","Человек 7",M$6)</f>
        <v/>
      </c>
      <c r="N4" s="5">
        <f>IF(N$6="","Человек 8",N$6)</f>
        <v/>
      </c>
      <c r="O4" s="5">
        <f>IF(O$6="","Человек 9",O$6)</f>
        <v/>
      </c>
      <c r="P4" s="5">
        <f>IF(P$6="","Человек 10",P$6)</f>
        <v/>
      </c>
    </row>
    <row r="5" ht="24" customHeight="1">
      <c r="A5" s="12" t="n"/>
      <c r="B5" s="13" t="inlineStr">
        <is>
          <t>1. АНКЕТА — человек заполняет сам по ссылке или вы за него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 ht="20" customHeight="1">
      <c r="A6" s="16" t="n">
        <v>1</v>
      </c>
      <c r="B6" s="17" t="inlineStr">
        <is>
          <t>Как называется ваша компания? 🏷</t>
        </is>
      </c>
      <c r="C6" s="18" t="inlineStr">
        <is>
          <t>Короткий ответ</t>
        </is>
      </c>
      <c r="D6" s="18" t="inlineStr">
        <is>
          <t>Подсказка в поле: Студия «Баланс»</t>
        </is>
      </c>
      <c r="E6" s="19">
        <f>COUNTA(G6:P6)</f>
        <v/>
      </c>
      <c r="F6" s="20" t="inlineStr">
        <is>
          <t>Салон «Лаванда»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 ht="97" customHeight="1">
      <c r="A7" s="16" t="n">
        <v>2</v>
      </c>
      <c r="B7" s="17" t="inlineStr">
        <is>
          <t>Категория</t>
        </is>
      </c>
      <c r="C7" s="18" t="inlineStr">
        <is>
          <t>Один вариант</t>
        </is>
      </c>
      <c r="D7" s="18" t="inlineStr">
        <is>
          <t>💅 Салон красоты · 🤸‍♀️ Студия пилатеса · 🧘‍♀️ Йога-студия · 🏋️‍♀️ Фитнес-клуб · ✨ Косметология · 💆‍♀️ SPA и массаж · 🥗 Здоровое питание · 🧠 Психологический центр · 🏥 Женское здоровье · 👶 Центр для мам и детей · 🏠 Пространство для встреч · 🛍 Бренд для маркета · 🎤 Организатор мероприятий · ⭐ Спонсор · 📱 Медиа и блогеры · 📚 Образование</t>
        </is>
      </c>
      <c r="E7" s="19">
        <f>COUNTA(G7:P7)</f>
        <v/>
      </c>
      <c r="F7" s="20" t="inlineStr">
        <is>
          <t>💅 Салон красоты</t>
        </is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 ht="20" customHeight="1">
      <c r="A8" s="16" t="n">
        <v>3</v>
      </c>
      <c r="B8" s="17" t="inlineStr">
        <is>
          <t>Город 📍</t>
        </is>
      </c>
      <c r="C8" s="18" t="inlineStr">
        <is>
          <t>Короткий ответ</t>
        </is>
      </c>
      <c r="D8" s="18" t="inlineStr">
        <is>
          <t>Подсказка в поле: Москва</t>
        </is>
      </c>
      <c r="E8" s="19">
        <f>COUNTA(G8:P8)</f>
        <v/>
      </c>
      <c r="F8" s="20" t="inlineStr">
        <is>
          <t>Москва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 ht="20" customHeight="1">
      <c r="A9" s="16" t="n">
        <v>4</v>
      </c>
      <c r="B9" s="17" t="inlineStr">
        <is>
          <t>Адрес или «онлайн»</t>
        </is>
      </c>
      <c r="C9" s="18" t="inlineStr">
        <is>
          <t>Короткий ответ</t>
        </is>
      </c>
      <c r="D9" s="18" t="inlineStr">
        <is>
          <t>Подсказка в поле: ул. Покровка, 17</t>
        </is>
      </c>
      <c r="E9" s="19">
        <f>COUNTA(G9:P9)</f>
        <v/>
      </c>
      <c r="F9" s="20" t="inlineStr">
        <is>
          <t>центр города</t>
        </is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 ht="20" customHeight="1">
      <c r="A10" s="16" t="n">
        <v>5</v>
      </c>
      <c r="B10" s="17" t="inlineStr">
        <is>
          <t>Контактное лицо и должность 👤</t>
        </is>
      </c>
      <c r="C10" s="18" t="inlineStr">
        <is>
          <t>Короткий ответ</t>
        </is>
      </c>
      <c r="D10" s="18" t="inlineStr">
        <is>
          <t>Подсказка в поле: Ирина, управляющая</t>
        </is>
      </c>
      <c r="E10" s="19">
        <f>COUNTA(G10:P10)</f>
        <v/>
      </c>
      <c r="F10" s="20" t="inlineStr">
        <is>
          <t>Ирина Громова, управляющая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 ht="20" customHeight="1">
      <c r="A11" s="16" t="n">
        <v>6</v>
      </c>
      <c r="B11" s="17" t="inlineStr">
        <is>
          <t>Сколько клиенток у вас в месяц?</t>
        </is>
      </c>
      <c r="C11" s="18" t="inlineStr">
        <is>
          <t>Один вариант</t>
        </is>
      </c>
      <c r="D11" s="18" t="inlineStr">
        <is>
          <t>До 100 · 100–500 · 500–2 000 · Больше 2 000</t>
        </is>
      </c>
      <c r="E11" s="19">
        <f>COUNTA(G11:P11)</f>
        <v/>
      </c>
      <c r="F11" s="20" t="inlineStr">
        <is>
          <t>100–500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20" customHeight="1">
      <c r="A12" s="16" t="n">
        <v>7</v>
      </c>
      <c r="B12" s="17" t="inlineStr">
        <is>
          <t>Возраст ваших клиенток</t>
        </is>
      </c>
      <c r="C12" s="18" t="inlineStr">
        <is>
          <t>Несколько вариантов</t>
        </is>
      </c>
      <c r="D12" s="18" t="inlineStr">
        <is>
          <t>до 25 · 25–34 · 35–44 · 45+</t>
        </is>
      </c>
      <c r="E12" s="19">
        <f>COUNTA(G12:P12)</f>
        <v/>
      </c>
      <c r="F12" s="20" t="inlineStr">
        <is>
          <t>до 25, 35–44</t>
        </is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71" customHeight="1">
      <c r="A13" s="16" t="n">
        <v>8</v>
      </c>
      <c r="B13" s="17" t="inlineStr">
        <is>
          <t>Что вам интересно? 🤝</t>
        </is>
      </c>
      <c r="C13" s="18" t="inlineStr">
        <is>
          <t>Несколько вариантов</t>
        </is>
      </c>
      <c r="D13" s="18" t="inlineStr">
        <is>
          <t>🔁 Взаимный промо · 🎁 Спецпредложение для участниц Евы · 💰 Комиссия за приведённых клиенток · 🏢 Корпоративная подписка для сотрудниц · 🎬 Площадка для съёмок или встреч · 🛍 Товары в маркете Евы · 🎉 Совместное мероприятие · ⭐ Спонсорство</t>
        </is>
      </c>
      <c r="E13" s="19">
        <f>COUNTA(G13:P13)</f>
        <v/>
      </c>
      <c r="F13" s="20" t="inlineStr">
        <is>
          <t>🏢 Корпоративная подписка для сотрудниц, 🎁 Спецпредложение для участниц Евы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32" customHeight="1">
      <c r="A14" s="16" t="n">
        <v>9</v>
      </c>
      <c r="B14" s="17" t="inlineStr">
        <is>
          <t>Что можете дать участницам Евы? 🎁</t>
        </is>
      </c>
      <c r="C14" s="18" t="inlineStr">
        <is>
          <t>Несколько вариантов</t>
        </is>
      </c>
      <c r="D14" s="18" t="inlineStr">
        <is>
          <t>Скидку · Пробное занятие · Подарок · Бесплатную консультацию · Пока не знаю</t>
        </is>
      </c>
      <c r="E14" s="19">
        <f>COUNTA(G14:P14)</f>
        <v/>
      </c>
      <c r="F14" s="20" t="inlineStr">
        <is>
          <t>Скидку, Бесплатную консультацию</t>
        </is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 ht="32" customHeight="1">
      <c r="A15" s="16" t="n">
        <v>10</v>
      </c>
      <c r="B15" s="17" t="inlineStr">
        <is>
          <t>Где можете рассказать о Еве? 📣</t>
        </is>
      </c>
      <c r="C15" s="18" t="inlineStr">
        <is>
          <t>Несколько вариантов</t>
        </is>
      </c>
      <c r="D15" s="18" t="inlineStr">
        <is>
          <t>Соцсети · Рассылка клиентам · Администратор на ресепшене · Стойка или листовки · Мероприятия</t>
        </is>
      </c>
      <c r="E15" s="19">
        <f>COUNTA(G15:P15)</f>
        <v/>
      </c>
      <c r="F15" s="20" t="inlineStr">
        <is>
          <t>Рассылка клиентам, Соцсети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 ht="32" customHeight="1">
      <c r="A16" s="16" t="n">
        <v>11</v>
      </c>
      <c r="B16" s="17" t="inlineStr">
        <is>
          <t>Аудитория в соцсетях 👥</t>
        </is>
      </c>
      <c r="C16" s="18" t="inlineStr">
        <is>
          <t>Один вариант</t>
        </is>
      </c>
      <c r="D16" s="18" t="inlineStr">
        <is>
          <t>Пока нет · До 1 тыс. · 1–10 тыс. · Больше 10 тыс.</t>
        </is>
      </c>
      <c r="E16" s="19">
        <f>COUNTA(G16:P16)</f>
        <v/>
      </c>
      <c r="F16" s="20" t="inlineStr">
        <is>
          <t>Больше 10 тыс.</t>
        </is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 ht="32" customHeight="1">
      <c r="A17" s="16" t="n">
        <v>12</v>
      </c>
      <c r="B17" s="17" t="inlineStr">
        <is>
          <t>Когда удобно встретиться?</t>
        </is>
      </c>
      <c r="C17" s="18" t="inlineStr">
        <is>
          <t>Один вариант</t>
        </is>
      </c>
      <c r="D17" s="18" t="inlineStr">
        <is>
          <t>В будни утром · В будни днём · Вечером · Лучше в переписке</t>
        </is>
      </c>
      <c r="E17" s="19">
        <f>COUNTA(G17:P17)</f>
        <v/>
      </c>
      <c r="F17" s="20" t="inlineStr">
        <is>
          <t>В будни днём</t>
        </is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 ht="20" customHeight="1">
      <c r="A18" s="16" t="n">
        <v>13</v>
      </c>
      <c r="B18" s="17" t="inlineStr">
        <is>
          <t>Telegram или телефон 📲</t>
        </is>
      </c>
      <c r="C18" s="18" t="inlineStr">
        <is>
          <t>Короткий ответ</t>
        </is>
      </c>
      <c r="D18" s="18" t="inlineStr">
        <is>
          <t>Подсказка в поле: @username или +7…</t>
        </is>
      </c>
      <c r="E18" s="19">
        <f>COUNTA(G18:P18)</f>
        <v/>
      </c>
      <c r="F18" s="20" t="inlineStr">
        <is>
          <t>@salon</t>
        </is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24" customHeight="1">
      <c r="A19" s="12" t="n"/>
      <c r="B19" s="13" t="inlineStr">
        <is>
          <t>2. ВСТРЕЧА — открытые вопросы для Zoom, 20–30 минут. Записывайте коротко, своими словами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 ht="20" customHeight="1">
      <c r="A20" s="16" t="n"/>
      <c r="B20" s="17" t="inlineStr">
        <is>
          <t>Дата созвона</t>
        </is>
      </c>
      <c r="C20" s="18" t="inlineStr">
        <is>
          <t>Дата</t>
        </is>
      </c>
      <c r="D20" s="18" t="inlineStr">
        <is>
          <t>Например: 25.09.2026</t>
        </is>
      </c>
      <c r="E20" s="19">
        <f>COUNTA(G20:P20)</f>
        <v/>
      </c>
      <c r="F20" s="20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</row>
    <row r="21" ht="20" customHeight="1">
      <c r="A21" s="16" t="n"/>
      <c r="B21" s="17" t="inlineStr">
        <is>
          <t>Кто вёл</t>
        </is>
      </c>
      <c r="C21" s="18" t="inlineStr">
        <is>
          <t>Короткий ответ</t>
        </is>
      </c>
      <c r="D21" s="18" t="inlineStr">
        <is>
          <t>Имя из команды</t>
        </is>
      </c>
      <c r="E21" s="19">
        <f>COUNTA(G21:P21)</f>
        <v/>
      </c>
      <c r="F21" s="20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 ht="58" customHeight="1">
      <c r="A22" s="16" t="n">
        <v>1</v>
      </c>
      <c r="B22" s="17" t="inlineStr">
        <is>
          <t>Расскажите о ваших клиентках: кто они, с чем приходят, что их волнует помимо вашей услуги?</t>
        </is>
      </c>
      <c r="C22" s="18" t="inlineStr">
        <is>
          <t>Открытый ответ</t>
        </is>
      </c>
      <c r="D22" s="18" t="inlineStr">
        <is>
          <t>Зачем: Совпадение с аудиторией Евы</t>
        </is>
      </c>
      <c r="E22" s="19">
        <f>COUNTA(G22:P22)</f>
        <v/>
      </c>
      <c r="F22" s="20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58" customHeight="1">
      <c r="A23" s="16" t="n">
        <v>2</v>
      </c>
      <c r="B23" s="17" t="inlineStr">
        <is>
          <t>Как вы сейчас удерживаете клиенток между визитами?</t>
        </is>
      </c>
      <c r="C23" s="18" t="inlineStr">
        <is>
          <t>Открытый ответ</t>
        </is>
      </c>
      <c r="D23" s="18" t="inlineStr">
        <is>
          <t>Зачем: Где Ева может помочь партнёру</t>
        </is>
      </c>
      <c r="E23" s="19">
        <f>COUNTA(G23:P23)</f>
        <v/>
      </c>
      <c r="F23" s="20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58" customHeight="1">
      <c r="A24" s="16" t="n">
        <v>3</v>
      </c>
      <c r="B24" s="17" t="inlineStr">
        <is>
          <t>Какие партнёрства у вас уже были? Что сработало, а что нет?</t>
        </is>
      </c>
      <c r="C24" s="18" t="inlineStr">
        <is>
          <t>Открытый ответ</t>
        </is>
      </c>
      <c r="D24" s="18" t="inlineStr">
        <is>
          <t>Зачем: Опыт и ожидания</t>
        </is>
      </c>
      <c r="E24" s="19">
        <f>COUNTA(G24:P24)</f>
        <v/>
      </c>
      <c r="F24" s="20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58" customHeight="1">
      <c r="A25" s="16" t="n">
        <v>4</v>
      </c>
      <c r="B25" s="17" t="inlineStr">
        <is>
          <t>Что для вас выгодное партнёрство: деньги, новые клиентки, контент, имидж?</t>
        </is>
      </c>
      <c r="C25" s="18" t="inlineStr">
        <is>
          <t>Открытый ответ</t>
        </is>
      </c>
      <c r="D25" s="18" t="inlineStr">
        <is>
          <t>Зачем: Формат сотрудничества</t>
        </is>
      </c>
      <c r="E25" s="19">
        <f>COUNTA(G25:P25)</f>
        <v/>
      </c>
      <c r="F25" s="20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58" customHeight="1">
      <c r="A26" s="16" t="n">
        <v>5</v>
      </c>
      <c r="B26" s="17" t="inlineStr">
        <is>
          <t>Как вы обычно рассказываете клиенткам о партнёрах? Кто это делает?</t>
        </is>
      </c>
      <c r="C26" s="18" t="inlineStr">
        <is>
          <t>Открытый ответ</t>
        </is>
      </c>
      <c r="D26" s="18" t="inlineStr">
        <is>
          <t>Зачем: Реальный канал рекомендации</t>
        </is>
      </c>
      <c r="E26" s="19">
        <f>COUNTA(G26:P26)</f>
        <v/>
      </c>
      <c r="F26" s="20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58" customHeight="1">
      <c r="A27" s="16" t="n">
        <v>6</v>
      </c>
      <c r="B27" s="17" t="inlineStr">
        <is>
          <t>Какое спецпредложение вы готовы дать участницам Евы?</t>
        </is>
      </c>
      <c r="C27" s="18" t="inlineStr">
        <is>
          <t>Открытый ответ</t>
        </is>
      </c>
      <c r="D27" s="18" t="inlineStr">
        <is>
          <t>Зачем: Оффер для витрины</t>
        </is>
      </c>
      <c r="E27" s="19">
        <f>COUNTA(G27:P27)</f>
        <v/>
      </c>
      <c r="F27" s="20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</row>
    <row r="28" ht="58" customHeight="1">
      <c r="A28" s="16" t="n">
        <v>7</v>
      </c>
      <c r="B28" s="17" t="inlineStr">
        <is>
          <t>Нужны ли вам практики или мастер-класс от Евы для ваших клиенток?</t>
        </is>
      </c>
      <c r="C28" s="18" t="inlineStr">
        <is>
          <t>Открытый ответ</t>
        </is>
      </c>
      <c r="D28" s="18" t="inlineStr">
        <is>
          <t>Зачем: Что даём мы</t>
        </is>
      </c>
      <c r="E28" s="19">
        <f>COUNTA(G28:P28)</f>
        <v/>
      </c>
      <c r="F28" s="20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58" customHeight="1">
      <c r="A29" s="16" t="n">
        <v>8</v>
      </c>
      <c r="B29" s="17" t="inlineStr">
        <is>
          <t>Кто у вас принимает решение о партнёрстве и сколько это обычно занимает?</t>
        </is>
      </c>
      <c r="C29" s="18" t="inlineStr">
        <is>
          <t>Открытый ответ</t>
        </is>
      </c>
      <c r="D29" s="18" t="inlineStr">
        <is>
          <t>Зачем: Скорость запуска</t>
        </is>
      </c>
      <c r="E29" s="19">
        <f>COUNTA(G29:P29)</f>
        <v/>
      </c>
      <c r="F29" s="20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</row>
    <row r="30" ht="58" customHeight="1">
      <c r="A30" s="16" t="n">
        <v>9</v>
      </c>
      <c r="B30" s="17" t="inlineStr">
        <is>
          <t>Что может вас остановить?</t>
        </is>
      </c>
      <c r="C30" s="18" t="inlineStr">
        <is>
          <t>Открытый ответ</t>
        </is>
      </c>
      <c r="D30" s="18" t="inlineStr">
        <is>
          <t>Зачем: Риски</t>
        </is>
      </c>
      <c r="E30" s="19">
        <f>COUNTA(G30:P30)</f>
        <v/>
      </c>
      <c r="F30" s="20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58" customHeight="1">
      <c r="A31" s="16" t="n">
        <v>10</v>
      </c>
      <c r="B31" s="17" t="inlineStr">
        <is>
          <t>Как мы поймём через 3 месяца, что партнёрство удалось?</t>
        </is>
      </c>
      <c r="C31" s="18" t="inlineStr">
        <is>
          <t>Открытый ответ</t>
        </is>
      </c>
      <c r="D31" s="18" t="inlineStr">
        <is>
          <t>Зачем: Общий критерий успеха</t>
        </is>
      </c>
      <c r="E31" s="19">
        <f>COUNTA(G31:P31)</f>
        <v/>
      </c>
      <c r="F31" s="20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 ht="58" customHeight="1">
      <c r="A32" s="16" t="inlineStr">
        <is>
          <t>+</t>
        </is>
      </c>
      <c r="B32" s="17" t="inlineStr">
        <is>
          <t>Что ещё важного прозвучало</t>
        </is>
      </c>
      <c r="C32" s="18" t="inlineStr">
        <is>
          <t>Открытый ответ</t>
        </is>
      </c>
      <c r="D32" s="18" t="inlineStr">
        <is>
          <t>Всё, что не попало в вопросы</t>
        </is>
      </c>
      <c r="E32" s="19">
        <f>COUNTA(G32:P32)</f>
        <v/>
      </c>
      <c r="F32" s="20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24" customHeight="1">
      <c r="A33" s="12" t="n"/>
      <c r="B33" s="13" t="inlineStr">
        <is>
          <t>3. ИТОГ — сразу после созвона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4" ht="20" customHeight="1">
      <c r="A34" s="16" t="n"/>
      <c r="B34" s="17" t="inlineStr">
        <is>
          <t>Решение</t>
        </is>
      </c>
      <c r="C34" s="18" t="inlineStr">
        <is>
          <t>Один вариант</t>
        </is>
      </c>
      <c r="D34" s="18" t="inlineStr">
        <is>
          <t>Подключаем · Думает · Не сейчас</t>
        </is>
      </c>
      <c r="E34" s="19">
        <f>COUNTA(G34:P34)</f>
        <v/>
      </c>
      <c r="F34" s="20" t="inlineStr">
        <is>
          <t>Подключаем</t>
        </is>
      </c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</row>
    <row r="35" ht="45" customHeight="1">
      <c r="A35" s="16" t="n"/>
      <c r="B35" s="17" t="inlineStr">
        <is>
          <t>О чём договорились</t>
        </is>
      </c>
      <c r="C35" s="18" t="inlineStr">
        <is>
          <t>Несколько вариантов</t>
        </is>
      </c>
      <c r="D35" s="18" t="inlineStr">
        <is>
          <t>🔁 Взаимный промо · 🎁 Спецпредложение · 💰 Комиссия · 🏢 Корпоративная подписка · 🎬 Площадка · 🛍 Маркет · 🎉 Мероприятие · ⭐ Спонсорство</t>
        </is>
      </c>
      <c r="E35" s="19">
        <f>COUNTA(G35:P35)</f>
        <v/>
      </c>
      <c r="F35" s="20" t="inlineStr">
        <is>
          <t>🎁 Спецпредложение, 🔁 Взаимный промо</t>
        </is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</row>
    <row r="36" ht="20" customHeight="1">
      <c r="A36" s="16" t="n"/>
      <c r="B36" s="17" t="inlineStr">
        <is>
          <t>Следующий шаг</t>
        </is>
      </c>
      <c r="C36" s="18" t="inlineStr">
        <is>
          <t>Короткий ответ</t>
        </is>
      </c>
      <c r="D36" s="18" t="inlineStr">
        <is>
          <t>Например: прислать макет стойки</t>
        </is>
      </c>
      <c r="E36" s="19">
        <f>COUNTA(G36:P36)</f>
        <v/>
      </c>
      <c r="F36" s="20" t="inlineStr">
        <is>
          <t>Стойка с QR на ресепшене</t>
        </is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20" customHeight="1">
      <c r="A37" s="16" t="n"/>
      <c r="B37" s="17" t="inlineStr">
        <is>
          <t>Когда</t>
        </is>
      </c>
      <c r="C37" s="18" t="inlineStr">
        <is>
          <t>Дата</t>
        </is>
      </c>
      <c r="D37" s="18" t="inlineStr">
        <is>
          <t>Например: 10.10.2026</t>
        </is>
      </c>
      <c r="E37" s="19">
        <f>COUNTA(G37:P37)</f>
        <v/>
      </c>
      <c r="F37" s="20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</row>
    <row r="38" ht="58" customHeight="1">
      <c r="A38" s="16" t="n"/>
      <c r="B38" s="17" t="inlineStr">
        <is>
          <t>Заметка</t>
        </is>
      </c>
      <c r="C38" s="18" t="inlineStr">
        <is>
          <t>Развёрнутый ответ</t>
        </is>
      </c>
      <c r="D38" s="18" t="inlineStr">
        <is>
          <t>Условия, договорённости, что важно помнить</t>
        </is>
      </c>
      <c r="E38" s="19">
        <f>COUNTA(G38:P38)</f>
        <v/>
      </c>
      <c r="F38" s="20" t="inlineStr">
        <is>
          <t>−15% на уход участницам Евы по промокоду EVA15.</t>
        </is>
      </c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</sheetData>
  <mergeCells count="3">
    <mergeCell ref="A3:B3"/>
    <mergeCell ref="A2:B2"/>
    <mergeCell ref="A1:B1"/>
  </mergeCells>
  <dataValidations count="5">
    <dataValidation sqref="G7:P7" showDropDown="0" showInputMessage="0" showErrorMessage="0" allowBlank="1" type="list">
      <formula1>Списки!$AF$1:$AF$16</formula1>
    </dataValidation>
    <dataValidation sqref="G11:P11" showDropDown="0" showInputMessage="0" showErrorMessage="0" allowBlank="1" type="list">
      <formula1>Списки!$AG$1:$AG$4</formula1>
    </dataValidation>
    <dataValidation sqref="G16:P16" showDropDown="0" showInputMessage="0" showErrorMessage="0" allowBlank="1" type="list">
      <formula1>Списки!$AH$1:$AH$4</formula1>
    </dataValidation>
    <dataValidation sqref="G17:P17" showDropDown="0" showInputMessage="0" showErrorMessage="0" allowBlank="1" type="list">
      <formula1>Списки!$AI$1:$AI$4</formula1>
    </dataValidation>
    <dataValidation sqref="G34:P34" showDropDown="0" showInputMessage="0" showErrorMessage="0" allowBlank="1" type="list">
      <formula1>Списки!$AJ$1:$AJ$3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7C58B"/>
    <outlinePr summaryBelow="1" summaryRight="1"/>
    <pageSetUpPr/>
  </sheetPr>
  <dimension ref="A1:P39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7" customWidth="1" min="3" max="3"/>
    <col width="42" customWidth="1" min="4" max="4"/>
    <col width="1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26" customHeight="1">
      <c r="A1" s="10" t="inlineStr">
        <is>
          <t>📣 Амбассадоры</t>
        </is>
      </c>
    </row>
    <row r="2" ht="44" customHeight="1">
      <c r="A2" s="11" t="inlineStr">
        <is>
          <t>Те, кто рассказывает о Еве и приводит подруг. Три шага, как в CRM: Анкета → Созвон → Итог. Обращаемся на «ты».</t>
        </is>
      </c>
    </row>
    <row r="3" ht="32" customHeight="1">
      <c r="A3" s="11" t="inlineStr">
        <is>
          <t>Жёлтые столбцы — для ответов, по одному на человека. Вопросы и варианты можно править прямо здесь.</t>
        </is>
      </c>
    </row>
    <row r="4" ht="30" customHeight="1">
      <c r="A4" s="5" t="inlineStr">
        <is>
          <t>№</t>
        </is>
      </c>
      <c r="B4" s="5" t="inlineStr">
        <is>
          <t>Вопрос</t>
        </is>
      </c>
      <c r="C4" s="5" t="inlineStr">
        <is>
          <t>Как отвечать</t>
        </is>
      </c>
      <c r="D4" s="5" t="inlineStr">
        <is>
          <t>Варианты ответа / зачем спрашиваем</t>
        </is>
      </c>
      <c r="E4" s="5" t="inlineStr">
        <is>
          <t>Ответили</t>
        </is>
      </c>
      <c r="F4" s="5" t="inlineStr">
        <is>
          <t>Пример</t>
        </is>
      </c>
      <c r="G4" s="5">
        <f>IF(G$6="","Человек 1",G$6)</f>
        <v/>
      </c>
      <c r="H4" s="5">
        <f>IF(H$6="","Человек 2",H$6)</f>
        <v/>
      </c>
      <c r="I4" s="5">
        <f>IF(I$6="","Человек 3",I$6)</f>
        <v/>
      </c>
      <c r="J4" s="5">
        <f>IF(J$6="","Человек 4",J$6)</f>
        <v/>
      </c>
      <c r="K4" s="5">
        <f>IF(K$6="","Человек 5",K$6)</f>
        <v/>
      </c>
      <c r="L4" s="5">
        <f>IF(L$6="","Человек 6",L$6)</f>
        <v/>
      </c>
      <c r="M4" s="5">
        <f>IF(M$6="","Человек 7",M$6)</f>
        <v/>
      </c>
      <c r="N4" s="5">
        <f>IF(N$6="","Человек 8",N$6)</f>
        <v/>
      </c>
      <c r="O4" s="5">
        <f>IF(O$6="","Человек 9",O$6)</f>
        <v/>
      </c>
      <c r="P4" s="5">
        <f>IF(P$6="","Человек 10",P$6)</f>
        <v/>
      </c>
    </row>
    <row r="5" ht="24" customHeight="1">
      <c r="A5" s="12" t="n"/>
      <c r="B5" s="13" t="inlineStr">
        <is>
          <t>1. АНКЕТА — человек заполняет сам по ссылке или вы за него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 ht="20" customHeight="1">
      <c r="A6" s="16" t="n">
        <v>1</v>
      </c>
      <c r="B6" s="17" t="inlineStr">
        <is>
          <t>Как тебя зовут? 💜</t>
        </is>
      </c>
      <c r="C6" s="18" t="inlineStr">
        <is>
          <t>Короткий ответ</t>
        </is>
      </c>
      <c r="D6" s="18" t="inlineStr">
        <is>
          <t>Подсказка в поле: Имя</t>
        </is>
      </c>
      <c r="E6" s="19">
        <f>COUNTA(G6:P6)</f>
        <v/>
      </c>
      <c r="F6" s="20" t="inlineStr">
        <is>
          <t>Юлия Ким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 ht="20" customHeight="1">
      <c r="A7" s="16" t="n">
        <v>2</v>
      </c>
      <c r="B7" s="17" t="inlineStr">
        <is>
          <t>Твой город 📍</t>
        </is>
      </c>
      <c r="C7" s="18" t="inlineStr">
        <is>
          <t>Короткий ответ</t>
        </is>
      </c>
      <c r="D7" s="18" t="inlineStr">
        <is>
          <t>Подсказка в поле: Казань</t>
        </is>
      </c>
      <c r="E7" s="19">
        <f>COUNTA(G7:P7)</f>
        <v/>
      </c>
      <c r="F7" s="20" t="inlineStr">
        <is>
          <t>Новосибирск</t>
        </is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 ht="20" customHeight="1">
      <c r="A8" s="16" t="n">
        <v>3</v>
      </c>
      <c r="B8" s="17" t="inlineStr">
        <is>
          <t>Ты пользуешься Евой?</t>
        </is>
      </c>
      <c r="C8" s="18" t="inlineStr">
        <is>
          <t>Один вариант</t>
        </is>
      </c>
      <c r="D8" s="18" t="inlineStr">
        <is>
          <t>💜 Да, давно · 🌱 Недавно начала · 👀 Ещё нет</t>
        </is>
      </c>
      <c r="E8" s="19">
        <f>COUNTA(G8:P8)</f>
        <v/>
      </c>
      <c r="F8" s="20" t="inlineStr">
        <is>
          <t>🌱 Недавно начала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 ht="45" customHeight="1">
      <c r="A9" s="16" t="n">
        <v>4</v>
      </c>
      <c r="B9" s="17" t="inlineStr">
        <is>
          <t>Где твоя аудитория? 📱</t>
        </is>
      </c>
      <c r="C9" s="18" t="inlineStr">
        <is>
          <t>Несколько вариантов</t>
        </is>
      </c>
      <c r="D9" s="18" t="inlineStr">
        <is>
          <t>Telegram · ВКонтакте · YouTube · Instagram* · TikTok · Дзен · Мамские и женские чаты · Офлайн-сообщество · Коллеги и друзья</t>
        </is>
      </c>
      <c r="E9" s="19">
        <f>COUNTA(G9:P9)</f>
        <v/>
      </c>
      <c r="F9" s="20" t="inlineStr">
        <is>
          <t>Telegram, ВКонтакте, Коллеги и друзья</t>
        </is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 ht="32" customHeight="1">
      <c r="A10" s="16" t="n">
        <v>5</v>
      </c>
      <c r="B10" s="17" t="inlineStr">
        <is>
          <t>Сколько людей тебя читает? 👥</t>
        </is>
      </c>
      <c r="C10" s="18" t="inlineStr">
        <is>
          <t>Один вариант</t>
        </is>
      </c>
      <c r="D10" s="18" t="inlineStr">
        <is>
          <t>До 500 · 500–3 000 · 3–10 тыс. · 10–50 тыс. · Больше 50 тыс.</t>
        </is>
      </c>
      <c r="E10" s="19">
        <f>COUNTA(G10:P10)</f>
        <v/>
      </c>
      <c r="F10" s="20" t="inlineStr">
        <is>
          <t>10–50 тыс.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 ht="45" customHeight="1">
      <c r="A11" s="16" t="n">
        <v>6</v>
      </c>
      <c r="B11" s="17" t="inlineStr">
        <is>
          <t>О чём твой блог или сообщество?</t>
        </is>
      </c>
      <c r="C11" s="18" t="inlineStr">
        <is>
          <t>Несколько вариантов (до 3)</t>
        </is>
      </c>
      <c r="D11" s="18" t="inlineStr">
        <is>
          <t>👶 Материнство · 💄 Красота · 🏃‍♀️ Спорт · 🧠 Психология · 💼 Бизнес · 🌿 Лайфстайл · ✈️ Путешествия · 📚 Образование</t>
        </is>
      </c>
      <c r="E11" s="19">
        <f>COUNTA(G11:P11)</f>
        <v/>
      </c>
      <c r="F11" s="20" t="inlineStr">
        <is>
          <t>💼 Бизнес, 👶 Материнство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32" customHeight="1">
      <c r="A12" s="16" t="n">
        <v>7</v>
      </c>
      <c r="B12" s="17" t="inlineStr">
        <is>
          <t>Кто тебя читает?</t>
        </is>
      </c>
      <c r="C12" s="18" t="inlineStr">
        <is>
          <t>Один вариант</t>
        </is>
      </c>
      <c r="D12" s="18" t="inlineStr">
        <is>
          <t>В основном женщины · Примерно поровну · В основном мужчины</t>
        </is>
      </c>
      <c r="E12" s="19">
        <f>COUNTA(G12:P12)</f>
        <v/>
      </c>
      <c r="F12" s="20" t="inlineStr">
        <is>
          <t>В основном женщины</t>
        </is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32" customHeight="1">
      <c r="A13" s="16" t="n">
        <v>8</v>
      </c>
      <c r="B13" s="17" t="inlineStr">
        <is>
          <t>Как хочешь рассказывать о Еве? 📣</t>
        </is>
      </c>
      <c r="C13" s="18" t="inlineStr">
        <is>
          <t>Несколько вариантов</t>
        </is>
      </c>
      <c r="D13" s="18" t="inlineStr">
        <is>
          <t>📸 Посты и сторис · 💬 Личные рекомендации · 👭 В чатах · 📡 Эфиры · 🏠 Офлайн-встречи · ⭐ Отзывы</t>
        </is>
      </c>
      <c r="E13" s="19">
        <f>COUNTA(G13:P13)</f>
        <v/>
      </c>
      <c r="F13" s="20" t="inlineStr">
        <is>
          <t>📸 Посты и сторис, 📡 Эфиры, 🏠 Офлайн-встречи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20" customHeight="1">
      <c r="A14" s="16" t="n">
        <v>9</v>
      </c>
      <c r="B14" s="17" t="inlineStr">
        <is>
          <t>Сколько времени в неделю готова уделять?</t>
        </is>
      </c>
      <c r="C14" s="18" t="inlineStr">
        <is>
          <t>Один вариант</t>
        </is>
      </c>
      <c r="D14" s="18" t="inlineStr">
        <is>
          <t>1 час · 2–4 часа · Больше 4 часов</t>
        </is>
      </c>
      <c r="E14" s="19">
        <f>COUNTA(G14:P14)</f>
        <v/>
      </c>
      <c r="F14" s="20" t="inlineStr">
        <is>
          <t>2–4 часа</t>
        </is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 ht="32" customHeight="1">
      <c r="A15" s="16" t="n">
        <v>10</v>
      </c>
      <c r="B15" s="17" t="inlineStr">
        <is>
          <t>Что для тебя главное? ✨</t>
        </is>
      </c>
      <c r="C15" s="18" t="inlineStr">
        <is>
          <t>Несколько вариантов (до 2)</t>
        </is>
      </c>
      <c r="D15" s="18" t="inlineStr">
        <is>
          <t>💰 Деньги · 💜 Бесплатная подписка · 🏆 Статус и признание · 👭 Сообщество · 🎓 Рост и обучение</t>
        </is>
      </c>
      <c r="E15" s="19">
        <f>COUNTA(G15:P15)</f>
        <v/>
      </c>
      <c r="F15" s="20" t="inlineStr">
        <is>
          <t>👭 Сообщество, 💜 Бесплатная подписка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 ht="20" customHeight="1">
      <c r="A16" s="16" t="n">
        <v>11</v>
      </c>
      <c r="B16" s="17" t="inlineStr">
        <is>
          <t>Твой статус — это нужно для выплат 🧾</t>
        </is>
      </c>
      <c r="C16" s="18" t="inlineStr">
        <is>
          <t>Один вариант</t>
        </is>
      </c>
      <c r="D16" s="18" t="inlineStr">
        <is>
          <t>Самозанятая · ИП · Пока нет</t>
        </is>
      </c>
      <c r="E16" s="19">
        <f>COUNTA(G16:P16)</f>
        <v/>
      </c>
      <c r="F16" s="20" t="inlineStr">
        <is>
          <t>ИП</t>
        </is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 ht="20" customHeight="1">
      <c r="A17" s="16" t="n">
        <v>12</v>
      </c>
      <c r="B17" s="17" t="inlineStr">
        <is>
          <t>Как удобнее получать вознаграждение?</t>
        </is>
      </c>
      <c r="C17" s="18" t="inlineStr">
        <is>
          <t>Один вариант</t>
        </is>
      </c>
      <c r="D17" s="18" t="inlineStr">
        <is>
          <t>💳 На карту · 💜 На баланс Евы (+10%)</t>
        </is>
      </c>
      <c r="E17" s="19">
        <f>COUNTA(G17:P17)</f>
        <v/>
      </c>
      <c r="F17" s="20" t="inlineStr">
        <is>
          <t>💳 На карту</t>
        </is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 ht="20" customHeight="1">
      <c r="A18" s="16" t="n">
        <v>13</v>
      </c>
      <c r="B18" s="17" t="inlineStr">
        <is>
          <t>Был опыт партнёрских программ?</t>
        </is>
      </c>
      <c r="C18" s="18" t="inlineStr">
        <is>
          <t>Один вариант</t>
        </is>
      </c>
      <c r="D18" s="18" t="inlineStr">
        <is>
          <t>Да · Нет</t>
        </is>
      </c>
      <c r="E18" s="19">
        <f>COUNTA(G18:P18)</f>
        <v/>
      </c>
      <c r="F18" s="20" t="inlineStr">
        <is>
          <t>Да</t>
        </is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20" customHeight="1">
      <c r="A19" s="16" t="n">
        <v>14</v>
      </c>
      <c r="B19" s="17" t="inlineStr">
        <is>
          <t>Твой Telegram или телефон 📲</t>
        </is>
      </c>
      <c r="C19" s="18" t="inlineStr">
        <is>
          <t>Короткий ответ</t>
        </is>
      </c>
      <c r="D19" s="18" t="inlineStr">
        <is>
          <t>Подсказка в поле: @username или +7…</t>
        </is>
      </c>
      <c r="E19" s="19">
        <f>COUNTA(G19:P19)</f>
        <v/>
      </c>
      <c r="F19" s="20" t="inlineStr">
        <is>
          <t>@yuliya</t>
        </is>
      </c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 ht="24" customHeight="1">
      <c r="A20" s="12" t="n"/>
      <c r="B20" s="13" t="inlineStr">
        <is>
          <t>2. СОЗВОН — открытые вопросы для Zoom, 20–30 минут. Записывайте коротко, своими словами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20" customHeight="1">
      <c r="A21" s="16" t="n"/>
      <c r="B21" s="17" t="inlineStr">
        <is>
          <t>Дата созвона</t>
        </is>
      </c>
      <c r="C21" s="18" t="inlineStr">
        <is>
          <t>Дата</t>
        </is>
      </c>
      <c r="D21" s="18" t="inlineStr">
        <is>
          <t>Например: 25.09.2026</t>
        </is>
      </c>
      <c r="E21" s="19">
        <f>COUNTA(G21:P21)</f>
        <v/>
      </c>
      <c r="F21" s="20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</row>
    <row r="22" ht="20" customHeight="1">
      <c r="A22" s="16" t="n"/>
      <c r="B22" s="17" t="inlineStr">
        <is>
          <t>Кто вёл</t>
        </is>
      </c>
      <c r="C22" s="18" t="inlineStr">
        <is>
          <t>Короткий ответ</t>
        </is>
      </c>
      <c r="D22" s="18" t="inlineStr">
        <is>
          <t>Имя из команды</t>
        </is>
      </c>
      <c r="E22" s="19">
        <f>COUNTA(G22:P22)</f>
        <v/>
      </c>
      <c r="F22" s="20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58" customHeight="1">
      <c r="A23" s="16" t="n">
        <v>1</v>
      </c>
      <c r="B23" s="17" t="inlineStr">
        <is>
          <t>Почему тебе откликается Ева? Что лично тебе она дала или могла бы дать?</t>
        </is>
      </c>
      <c r="C23" s="18" t="inlineStr">
        <is>
          <t>Открытый ответ</t>
        </is>
      </c>
      <c r="D23" s="18" t="inlineStr">
        <is>
          <t>Зачем: Искренняя мотивация — основа рекомендаций</t>
        </is>
      </c>
      <c r="E23" s="19">
        <f>COUNTA(G23:P23)</f>
        <v/>
      </c>
      <c r="F23" s="20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58" customHeight="1">
      <c r="A24" s="16" t="n">
        <v>2</v>
      </c>
      <c r="B24" s="17" t="inlineStr">
        <is>
          <t>Кто твоя аудитория и что у неё сейчас болит?</t>
        </is>
      </c>
      <c r="C24" s="18" t="inlineStr">
        <is>
          <t>Открытый ответ</t>
        </is>
      </c>
      <c r="D24" s="18" t="inlineStr">
        <is>
          <t>Зачем: Какой оффер ей зайдёт</t>
        </is>
      </c>
      <c r="E24" s="19">
        <f>COUNTA(G24:P24)</f>
        <v/>
      </c>
      <c r="F24" s="20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58" customHeight="1">
      <c r="A25" s="16" t="n">
        <v>3</v>
      </c>
      <c r="B25" s="17" t="inlineStr">
        <is>
          <t>Как ты обычно рекомендуешь продукты? Что никогда не стала бы рекламировать?</t>
        </is>
      </c>
      <c r="C25" s="18" t="inlineStr">
        <is>
          <t>Открытый ответ</t>
        </is>
      </c>
      <c r="D25" s="18" t="inlineStr">
        <is>
          <t>Зачем: Формат и границы</t>
        </is>
      </c>
      <c r="E25" s="19">
        <f>COUNTA(G25:P25)</f>
        <v/>
      </c>
      <c r="F25" s="20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58" customHeight="1">
      <c r="A26" s="16" t="n">
        <v>4</v>
      </c>
      <c r="B26" s="17" t="inlineStr">
        <is>
          <t>Какие материалы тебе нужны: тексты, видео, промокоды, эфир с экспертом?</t>
        </is>
      </c>
      <c r="C26" s="18" t="inlineStr">
        <is>
          <t>Открытый ответ</t>
        </is>
      </c>
      <c r="D26" s="18" t="inlineStr">
        <is>
          <t>Зачем: Набор амбассадора</t>
        </is>
      </c>
      <c r="E26" s="19">
        <f>COUNTA(G26:P26)</f>
        <v/>
      </c>
      <c r="F26" s="20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58" customHeight="1">
      <c r="A27" s="16" t="n">
        <v>5</v>
      </c>
      <c r="B27" s="17" t="inlineStr">
        <is>
          <t>Что тебя мотивирует больше: деньги, подписка, статус, сообщество?</t>
        </is>
      </c>
      <c r="C27" s="18" t="inlineStr">
        <is>
          <t>Открытый ответ</t>
        </is>
      </c>
      <c r="D27" s="18" t="inlineStr">
        <is>
          <t>Зачем: Как вознаграждать</t>
        </is>
      </c>
      <c r="E27" s="19">
        <f>COUNTA(G27:P27)</f>
        <v/>
      </c>
      <c r="F27" s="20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</row>
    <row r="28" ht="58" customHeight="1">
      <c r="A28" s="16" t="n">
        <v>6</v>
      </c>
      <c r="B28" s="17" t="inlineStr">
        <is>
          <t>Какой опыт партнёрских программ у тебя был? Что раздражало?</t>
        </is>
      </c>
      <c r="C28" s="18" t="inlineStr">
        <is>
          <t>Открытый ответ</t>
        </is>
      </c>
      <c r="D28" s="18" t="inlineStr">
        <is>
          <t>Зачем: Чего не повторять</t>
        </is>
      </c>
      <c r="E28" s="19">
        <f>COUNTA(G28:P28)</f>
        <v/>
      </c>
      <c r="F28" s="20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58" customHeight="1">
      <c r="A29" s="16" t="n">
        <v>7</v>
      </c>
      <c r="B29" s="17" t="inlineStr">
        <is>
          <t>Сколько человек ты можешь привести за месяц — честно?</t>
        </is>
      </c>
      <c r="C29" s="18" t="inlineStr">
        <is>
          <t>Открытый ответ</t>
        </is>
      </c>
      <c r="D29" s="18" t="inlineStr">
        <is>
          <t>Зачем: Реальный прогноз</t>
        </is>
      </c>
      <c r="E29" s="19">
        <f>COUNTA(G29:P29)</f>
        <v/>
      </c>
      <c r="F29" s="20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</row>
    <row r="30" ht="58" customHeight="1">
      <c r="A30" s="16" t="n">
        <v>8</v>
      </c>
      <c r="B30" s="17" t="inlineStr">
        <is>
          <t>Как тебе удобнее отчитываться и получать выплаты?</t>
        </is>
      </c>
      <c r="C30" s="18" t="inlineStr">
        <is>
          <t>Открытый ответ</t>
        </is>
      </c>
      <c r="D30" s="18" t="inlineStr">
        <is>
          <t>Зачем: Простая механика выплат</t>
        </is>
      </c>
      <c r="E30" s="19">
        <f>COUNTA(G30:P30)</f>
        <v/>
      </c>
      <c r="F30" s="20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58" customHeight="1">
      <c r="A31" s="16" t="n">
        <v>9</v>
      </c>
      <c r="B31" s="17" t="inlineStr">
        <is>
          <t>Что может тебя разочаровать в сотрудничестве с нами?</t>
        </is>
      </c>
      <c r="C31" s="18" t="inlineStr">
        <is>
          <t>Открытый ответ</t>
        </is>
      </c>
      <c r="D31" s="18" t="inlineStr">
        <is>
          <t>Зачем: Риски</t>
        </is>
      </c>
      <c r="E31" s="19">
        <f>COUNTA(G31:P31)</f>
        <v/>
      </c>
      <c r="F31" s="20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 ht="58" customHeight="1">
      <c r="A32" s="16" t="n">
        <v>10</v>
      </c>
      <c r="B32" s="17" t="inlineStr">
        <is>
          <t>Кого ещё ты бы позвала в амбассадоры?</t>
        </is>
      </c>
      <c r="C32" s="18" t="inlineStr">
        <is>
          <t>Открытый ответ</t>
        </is>
      </c>
      <c r="D32" s="18" t="inlineStr">
        <is>
          <t>Зачем: Следующие амбассадоры</t>
        </is>
      </c>
      <c r="E32" s="19">
        <f>COUNTA(G32:P32)</f>
        <v/>
      </c>
      <c r="F32" s="20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58" customHeight="1">
      <c r="A33" s="16" t="inlineStr">
        <is>
          <t>+</t>
        </is>
      </c>
      <c r="B33" s="17" t="inlineStr">
        <is>
          <t>Что ещё важного прозвучало</t>
        </is>
      </c>
      <c r="C33" s="18" t="inlineStr">
        <is>
          <t>Открытый ответ</t>
        </is>
      </c>
      <c r="D33" s="18" t="inlineStr">
        <is>
          <t>Всё, что не попало в вопросы</t>
        </is>
      </c>
      <c r="E33" s="19">
        <f>COUNTA(G33:P33)</f>
        <v/>
      </c>
      <c r="F33" s="20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</row>
    <row r="34" ht="24" customHeight="1">
      <c r="A34" s="12" t="n"/>
      <c r="B34" s="13" t="inlineStr">
        <is>
          <t>3. ИТОГ — сразу после созвона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 ht="20" customHeight="1">
      <c r="A35" s="16" t="n"/>
      <c r="B35" s="17" t="inlineStr">
        <is>
          <t>Решение</t>
        </is>
      </c>
      <c r="C35" s="18" t="inlineStr">
        <is>
          <t>Один вариант</t>
        </is>
      </c>
      <c r="D35" s="18" t="inlineStr">
        <is>
          <t>Подключаем · Думает · Не сейчас</t>
        </is>
      </c>
      <c r="E35" s="19">
        <f>COUNTA(G35:P35)</f>
        <v/>
      </c>
      <c r="F35" s="20" t="inlineStr">
        <is>
          <t>Подключаем</t>
        </is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</row>
    <row r="36" ht="45" customHeight="1">
      <c r="A36" s="16" t="n"/>
      <c r="B36" s="17" t="inlineStr">
        <is>
          <t>О чём договорились</t>
        </is>
      </c>
      <c r="C36" s="18" t="inlineStr">
        <is>
          <t>Несколько вариантов</t>
        </is>
      </c>
      <c r="D36" s="18" t="inlineStr">
        <is>
          <t>🔗 Ссылка выдана · 📦 Материалы отправлены · 💜 Подписка в подарок · 🧾 Оформляет самозанятость · 📡 Эфир с экспертом · 👭 Позовёт подруг-амбассадоров</t>
        </is>
      </c>
      <c r="E36" s="19">
        <f>COUNTA(G36:P36)</f>
        <v/>
      </c>
      <c r="F36" s="20" t="inlineStr">
        <is>
          <t>🔗 Ссылка выдана, 📦 Материалы отправлены, 💜 Подписка в подарок</t>
        </is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20" customHeight="1">
      <c r="A37" s="16" t="n"/>
      <c r="B37" s="17" t="inlineStr">
        <is>
          <t>Следующий шаг</t>
        </is>
      </c>
      <c r="C37" s="18" t="inlineStr">
        <is>
          <t>Короткий ответ</t>
        </is>
      </c>
      <c r="D37" s="18" t="inlineStr">
        <is>
          <t>Например: выдать материалы</t>
        </is>
      </c>
      <c r="E37" s="19">
        <f>COUNTA(G37:P37)</f>
        <v/>
      </c>
      <c r="F37" s="20" t="inlineStr">
        <is>
          <t>Первый пост в канале</t>
        </is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</row>
    <row r="38" ht="20" customHeight="1">
      <c r="A38" s="16" t="n"/>
      <c r="B38" s="17" t="inlineStr">
        <is>
          <t>Когда</t>
        </is>
      </c>
      <c r="C38" s="18" t="inlineStr">
        <is>
          <t>Дата</t>
        </is>
      </c>
      <c r="D38" s="18" t="inlineStr">
        <is>
          <t>Например: 10.10.2026</t>
        </is>
      </c>
      <c r="E38" s="19">
        <f>COUNTA(G38:P38)</f>
        <v/>
      </c>
      <c r="F38" s="20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</row>
    <row r="39" ht="58" customHeight="1">
      <c r="A39" s="16" t="n"/>
      <c r="B39" s="17" t="inlineStr">
        <is>
          <t>Заметка</t>
        </is>
      </c>
      <c r="C39" s="18" t="inlineStr">
        <is>
          <t>Развёрнутый ответ</t>
        </is>
      </c>
      <c r="D39" s="18" t="inlineStr">
        <is>
          <t>Условия, договорённости, что важно помнить</t>
        </is>
      </c>
      <c r="E39" s="19">
        <f>COUNTA(G39:P39)</f>
        <v/>
      </c>
      <c r="F39" s="20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</row>
  </sheetData>
  <mergeCells count="3">
    <mergeCell ref="A3:B3"/>
    <mergeCell ref="A2:B2"/>
    <mergeCell ref="A1:B1"/>
  </mergeCells>
  <dataValidations count="8">
    <dataValidation sqref="G8:P8" showDropDown="0" showInputMessage="0" showErrorMessage="0" allowBlank="1" type="list">
      <formula1>Списки!$AK$1:$AK$3</formula1>
    </dataValidation>
    <dataValidation sqref="G10:P10" showDropDown="0" showInputMessage="0" showErrorMessage="0" allowBlank="1" type="list">
      <formula1>Списки!$AL$1:$AL$5</formula1>
    </dataValidation>
    <dataValidation sqref="G12:P12" showDropDown="0" showInputMessage="0" showErrorMessage="0" allowBlank="1" type="list">
      <formula1>Списки!$AM$1:$AM$3</formula1>
    </dataValidation>
    <dataValidation sqref="G14:P14" showDropDown="0" showInputMessage="0" showErrorMessage="0" allowBlank="1" type="list">
      <formula1>Списки!$AN$1:$AN$3</formula1>
    </dataValidation>
    <dataValidation sqref="G16:P16" showDropDown="0" showInputMessage="0" showErrorMessage="0" allowBlank="1" type="list">
      <formula1>Списки!$AO$1:$AO$3</formula1>
    </dataValidation>
    <dataValidation sqref="G17:P17" showDropDown="0" showInputMessage="0" showErrorMessage="0" allowBlank="1" type="list">
      <formula1>Списки!$AP$1:$AP$2</formula1>
    </dataValidation>
    <dataValidation sqref="G18:P18" showDropDown="0" showInputMessage="0" showErrorMessage="0" allowBlank="1" type="list">
      <formula1>Списки!$AQ$1:$AQ$2</formula1>
    </dataValidation>
    <dataValidation sqref="G35:P35" showDropDown="0" showInputMessage="0" showErrorMessage="0" allowBlank="1" type="list">
      <formula1>Списки!$AR$1:$AR$3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Россия</t>
        </is>
      </c>
      <c r="B1" t="inlineStr">
        <is>
          <t>Полная занятость по трудовому договору</t>
        </is>
      </c>
      <c r="C1" t="inlineStr">
        <is>
          <t>Работаю удалённо</t>
        </is>
      </c>
      <c r="D1" t="inlineStr">
        <is>
          <t>Крайне низкий</t>
        </is>
      </c>
      <c r="E1" t="inlineStr">
        <is>
          <t>Собственное жильё</t>
        </is>
      </c>
      <c r="F1" t="inlineStr">
        <is>
          <t>Жаворонок — легко встаю рано</t>
        </is>
      </c>
      <c r="G1" t="inlineStr">
        <is>
          <t>Отношения</t>
        </is>
      </c>
      <c r="H1" t="inlineStr">
        <is>
          <t>Ментальное здоровье и эмоциональный баланс</t>
        </is>
      </c>
      <c r="I1" t="inlineStr">
        <is>
          <t>5–10 минут</t>
        </is>
      </c>
      <c r="J1" t="inlineStr">
        <is>
          <t>Утром</t>
        </is>
      </c>
      <c r="K1" t="inlineStr">
        <is>
          <t>До 3 000 ₽</t>
        </is>
      </c>
      <c r="L1" t="inlineStr">
        <is>
          <t>С наставником</t>
        </is>
      </c>
      <c r="M1" t="inlineStr">
        <is>
          <t>До 6:00</t>
        </is>
      </c>
      <c r="N1" t="inlineStr">
        <is>
          <t>До 22:00</t>
        </is>
      </c>
      <c r="O1" t="inlineStr">
        <is>
          <t>Ем всё</t>
        </is>
      </c>
      <c r="P1" t="inlineStr">
        <is>
          <t>До 2 часов</t>
        </is>
      </c>
      <c r="Q1" t="inlineStr">
        <is>
          <t>До 5 минут</t>
        </is>
      </c>
      <c r="R1" t="inlineStr">
        <is>
          <t>Нет, смотрю как есть</t>
        </is>
      </c>
      <c r="S1" t="inlineStr">
        <is>
          <t>Да, важно, чтобы ответили</t>
        </is>
      </c>
      <c r="T1" t="inlineStr">
        <is>
          <t>До 1 000 ₽</t>
        </is>
      </c>
      <c r="U1" t="inlineStr">
        <is>
          <t>Telegram</t>
        </is>
      </c>
      <c r="V1" t="inlineStr">
        <is>
          <t>Да, в будни днём</t>
        </is>
      </c>
      <c r="W1" t="inlineStr">
        <is>
          <t>Инсайты собраны</t>
        </is>
      </c>
      <c r="X1" t="inlineStr">
        <is>
          <t>до года</t>
        </is>
      </c>
      <c r="Y1" t="inlineStr">
        <is>
          <t>Диплом по профилю</t>
        </is>
      </c>
      <c r="Z1" t="inlineStr">
        <is>
          <t>🔥 Да, уже есть идея</t>
        </is>
      </c>
      <c r="AA1" t="inlineStr">
        <is>
          <t>🏙 Приеду в студию в Москве</t>
        </is>
      </c>
      <c r="AB1" t="inlineStr">
        <is>
          <t>1 день</t>
        </is>
      </c>
      <c r="AC1" t="inlineStr">
        <is>
          <t>Пока нет</t>
        </is>
      </c>
      <c r="AD1" t="inlineStr">
        <is>
          <t>До 3 000 ₽</t>
        </is>
      </c>
      <c r="AE1" t="inlineStr">
        <is>
          <t>Подключаем</t>
        </is>
      </c>
      <c r="AF1" t="inlineStr">
        <is>
          <t>💅 Салон красоты</t>
        </is>
      </c>
      <c r="AG1" t="inlineStr">
        <is>
          <t>До 100</t>
        </is>
      </c>
      <c r="AH1" t="inlineStr">
        <is>
          <t>Пока нет</t>
        </is>
      </c>
      <c r="AI1" t="inlineStr">
        <is>
          <t>В будни утром</t>
        </is>
      </c>
      <c r="AJ1" t="inlineStr">
        <is>
          <t>Подключаем</t>
        </is>
      </c>
      <c r="AK1" t="inlineStr">
        <is>
          <t>💜 Да, давно</t>
        </is>
      </c>
      <c r="AL1" t="inlineStr">
        <is>
          <t>До 500</t>
        </is>
      </c>
      <c r="AM1" t="inlineStr">
        <is>
          <t>В основном женщины</t>
        </is>
      </c>
      <c r="AN1" t="inlineStr">
        <is>
          <t>1 час</t>
        </is>
      </c>
      <c r="AO1" t="inlineStr">
        <is>
          <t>Самозанятая</t>
        </is>
      </c>
      <c r="AP1" t="inlineStr">
        <is>
          <t>💳 На карту</t>
        </is>
      </c>
      <c r="AQ1" t="inlineStr">
        <is>
          <t>Да</t>
        </is>
      </c>
      <c r="AR1" t="inlineStr">
        <is>
          <t>Подключаем</t>
        </is>
      </c>
    </row>
    <row r="2">
      <c r="A2" t="inlineStr">
        <is>
          <t>Казахстан</t>
        </is>
      </c>
      <c r="B2" t="inlineStr">
        <is>
          <t>Частичная занятость</t>
        </is>
      </c>
      <c r="C2" t="inlineStr">
        <is>
          <t>Работаю на гибридном графике</t>
        </is>
      </c>
      <c r="D2" t="inlineStr">
        <is>
          <t>Низкий</t>
        </is>
      </c>
      <c r="E2" t="inlineStr">
        <is>
          <t>Собственное жильё в ипотеке</t>
        </is>
      </c>
      <c r="F2" t="inlineStr">
        <is>
          <t>Сова — оживаю к вечеру</t>
        </is>
      </c>
      <c r="G2" t="inlineStr">
        <is>
          <t>Семья и дети</t>
        </is>
      </c>
      <c r="H2" t="inlineStr">
        <is>
          <t>Физическое здоровье, тело и тонус</t>
        </is>
      </c>
      <c r="I2" t="inlineStr">
        <is>
          <t>15–20 минут</t>
        </is>
      </c>
      <c r="J2" t="inlineStr">
        <is>
          <t>Днём</t>
        </is>
      </c>
      <c r="K2" t="inlineStr">
        <is>
          <t>3 000–7 000 ₽</t>
        </is>
      </c>
      <c r="L2" t="inlineStr">
        <is>
          <t>Самостоятельно</t>
        </is>
      </c>
      <c r="M2" t="inlineStr">
        <is>
          <t>6:00–7:00</t>
        </is>
      </c>
      <c r="N2" t="inlineStr">
        <is>
          <t>22:00–23:00</t>
        </is>
      </c>
      <c r="O2" t="inlineStr">
        <is>
          <t>Вегетарианка</t>
        </is>
      </c>
      <c r="P2" t="inlineStr">
        <is>
          <t>2–4 часа</t>
        </is>
      </c>
      <c r="Q2" t="inlineStr">
        <is>
          <t>5–15 минут</t>
        </is>
      </c>
      <c r="R2" t="inlineStr">
        <is>
          <t>Да, 1,25–1,5×</t>
        </is>
      </c>
      <c r="S2" t="inlineStr">
        <is>
          <t>Иногда</t>
        </is>
      </c>
      <c r="T2" t="inlineStr">
        <is>
          <t>1 000–3 000 ₽</t>
        </is>
      </c>
      <c r="U2" t="inlineStr">
        <is>
          <t>ВКонтакте</t>
        </is>
      </c>
      <c r="V2" t="inlineStr">
        <is>
          <t>Да, в будни вечером</t>
        </is>
      </c>
      <c r="W2" t="inlineStr">
        <is>
          <t>Готова помогать ещё</t>
        </is>
      </c>
      <c r="X2" t="inlineStr">
        <is>
          <t>1–3 года</t>
        </is>
      </c>
      <c r="Y2" t="inlineStr">
        <is>
          <t>Сертификаты и курсы</t>
        </is>
      </c>
      <c r="Z2" t="inlineStr">
        <is>
          <t>🤔 Возможно, обсудим</t>
        </is>
      </c>
      <c r="AA2" t="inlineStr">
        <is>
          <t>🎥 Есть своя качественная съёмка</t>
        </is>
      </c>
      <c r="AB2" t="inlineStr">
        <is>
          <t>2–3 дня</t>
        </is>
      </c>
      <c r="AC2" t="inlineStr">
        <is>
          <t>До 1 тыс.</t>
        </is>
      </c>
      <c r="AD2" t="inlineStr">
        <is>
          <t>3 000–6 000 ₽</t>
        </is>
      </c>
      <c r="AE2" t="inlineStr">
        <is>
          <t>Думает</t>
        </is>
      </c>
      <c r="AF2" t="inlineStr">
        <is>
          <t>🤸‍♀️ Студия пилатеса</t>
        </is>
      </c>
      <c r="AG2" t="inlineStr">
        <is>
          <t>100–500</t>
        </is>
      </c>
      <c r="AH2" t="inlineStr">
        <is>
          <t>До 1 тыс.</t>
        </is>
      </c>
      <c r="AI2" t="inlineStr">
        <is>
          <t>В будни днём</t>
        </is>
      </c>
      <c r="AJ2" t="inlineStr">
        <is>
          <t>Думает</t>
        </is>
      </c>
      <c r="AK2" t="inlineStr">
        <is>
          <t>🌱 Недавно начала</t>
        </is>
      </c>
      <c r="AL2" t="inlineStr">
        <is>
          <t>500–3 000</t>
        </is>
      </c>
      <c r="AM2" t="inlineStr">
        <is>
          <t>Примерно поровну</t>
        </is>
      </c>
      <c r="AN2" t="inlineStr">
        <is>
          <t>2–4 часа</t>
        </is>
      </c>
      <c r="AO2" t="inlineStr">
        <is>
          <t>ИП</t>
        </is>
      </c>
      <c r="AP2" t="inlineStr">
        <is>
          <t>💜 На баланс Евы (+10%)</t>
        </is>
      </c>
      <c r="AQ2" t="inlineStr">
        <is>
          <t>Нет</t>
        </is>
      </c>
      <c r="AR2" t="inlineStr">
        <is>
          <t>Думает</t>
        </is>
      </c>
    </row>
    <row r="3">
      <c r="A3" t="inlineStr">
        <is>
          <t>Беларусь</t>
        </is>
      </c>
      <c r="B3" t="inlineStr">
        <is>
          <t>Индивидуальный предприниматель</t>
        </is>
      </c>
      <c r="C3" t="inlineStr">
        <is>
          <t>Работаю в офисе 5/2</t>
        </is>
      </c>
      <c r="D3" t="inlineStr">
        <is>
          <t>Ниже среднего</t>
        </is>
      </c>
      <c r="E3" t="inlineStr">
        <is>
          <t>Снимаю жильё</t>
        </is>
      </c>
      <c r="F3" t="inlineStr">
        <is>
          <t>Где-то посередине</t>
        </is>
      </c>
      <c r="G3" t="inlineStr">
        <is>
          <t>Карьера и учёба</t>
        </is>
      </c>
      <c r="H3" t="inlineStr">
        <is>
          <t>Романтические отношения и личная жизнь</t>
        </is>
      </c>
      <c r="I3" t="inlineStr">
        <is>
          <t>30 минут и больше</t>
        </is>
      </c>
      <c r="J3" t="inlineStr">
        <is>
          <t>Вечером</t>
        </is>
      </c>
      <c r="K3" t="inlineStr">
        <is>
          <t>7 000–15 000 ₽</t>
        </is>
      </c>
      <c r="L3" t="inlineStr">
        <is>
          <t>В группе, с поддержкой</t>
        </is>
      </c>
      <c r="M3" t="inlineStr">
        <is>
          <t>7:00–8:00</t>
        </is>
      </c>
      <c r="N3" t="inlineStr">
        <is>
          <t>23:00–00:00</t>
        </is>
      </c>
      <c r="O3" t="inlineStr">
        <is>
          <t>Веганка</t>
        </is>
      </c>
      <c r="P3" t="inlineStr">
        <is>
          <t>4–6 часов</t>
        </is>
      </c>
      <c r="Q3" t="inlineStr">
        <is>
          <t>15–30 минут</t>
        </is>
      </c>
      <c r="R3" t="inlineStr">
        <is>
          <t>Да, 1,75–2×</t>
        </is>
      </c>
      <c r="S3" t="inlineStr">
        <is>
          <t>Нет, хватит выжимки</t>
        </is>
      </c>
      <c r="T3" t="inlineStr">
        <is>
          <t>3 000–5 000 ₽</t>
        </is>
      </c>
      <c r="U3" t="inlineStr">
        <is>
          <t>Блогер</t>
        </is>
      </c>
      <c r="V3" t="inlineStr">
        <is>
          <t>Да, в выходные</t>
        </is>
      </c>
      <c r="X3" t="inlineStr">
        <is>
          <t>3–5 лет</t>
        </is>
      </c>
      <c r="Y3" t="inlineStr">
        <is>
          <t>Большая практика без документов</t>
        </is>
      </c>
      <c r="Z3" t="inlineStr">
        <is>
          <t>📦 Есть готовый — хочу разместить</t>
        </is>
      </c>
      <c r="AA3" t="inlineStr">
        <is>
          <t>💻 Только онлайн</t>
        </is>
      </c>
      <c r="AB3" t="inlineStr">
        <is>
          <t>Регулярно, раз в месяц</t>
        </is>
      </c>
      <c r="AC3" t="inlineStr">
        <is>
          <t>1–10 тыс.</t>
        </is>
      </c>
      <c r="AD3" t="inlineStr">
        <is>
          <t>6 000–10 000 ₽</t>
        </is>
      </c>
      <c r="AE3" t="inlineStr">
        <is>
          <t>Не сейчас</t>
        </is>
      </c>
      <c r="AF3" t="inlineStr">
        <is>
          <t>🧘‍♀️ Йога-студия</t>
        </is>
      </c>
      <c r="AG3" t="inlineStr">
        <is>
          <t>500–2 000</t>
        </is>
      </c>
      <c r="AH3" t="inlineStr">
        <is>
          <t>1–10 тыс.</t>
        </is>
      </c>
      <c r="AI3" t="inlineStr">
        <is>
          <t>Вечером</t>
        </is>
      </c>
      <c r="AJ3" t="inlineStr">
        <is>
          <t>Не сейчас</t>
        </is>
      </c>
      <c r="AK3" t="inlineStr">
        <is>
          <t>👀 Ещё нет</t>
        </is>
      </c>
      <c r="AL3" t="inlineStr">
        <is>
          <t>3–10 тыс.</t>
        </is>
      </c>
      <c r="AM3" t="inlineStr">
        <is>
          <t>В основном мужчины</t>
        </is>
      </c>
      <c r="AN3" t="inlineStr">
        <is>
          <t>Больше 4 часов</t>
        </is>
      </c>
      <c r="AO3" t="inlineStr">
        <is>
          <t>Пока нет</t>
        </is>
      </c>
      <c r="AR3" t="inlineStr">
        <is>
          <t>Не сейчас</t>
        </is>
      </c>
    </row>
    <row r="4">
      <c r="A4" t="inlineStr">
        <is>
          <t>Узбекистан</t>
        </is>
      </c>
      <c r="B4" t="inlineStr">
        <is>
          <t>Самозанятая / Фрилансер</t>
        </is>
      </c>
      <c r="C4" t="inlineStr">
        <is>
          <t>Работаю по сменному графику, например 2/2</t>
        </is>
      </c>
      <c r="D4" t="inlineStr">
        <is>
          <t>Средний</t>
        </is>
      </c>
      <c r="E4" t="inlineStr">
        <is>
          <t>Живу с родителями или родственниками</t>
        </is>
      </c>
      <c r="F4" t="inlineStr">
        <is>
          <t>Свой режим, всё по ситуации</t>
        </is>
      </c>
      <c r="G4" t="inlineStr">
        <is>
          <t>Поиск себя и отдых</t>
        </is>
      </c>
      <c r="H4" t="inlineStr">
        <is>
          <t>Материнство и семья</t>
        </is>
      </c>
      <c r="K4" t="inlineStr">
        <is>
          <t>15 000–30 000 ₽</t>
        </is>
      </c>
      <c r="L4" t="inlineStr">
        <is>
          <t>По-разному</t>
        </is>
      </c>
      <c r="M4" t="inlineStr">
        <is>
          <t>8:00–9:00</t>
        </is>
      </c>
      <c r="N4" t="inlineStr">
        <is>
          <t>00:00–01:00</t>
        </is>
      </c>
      <c r="O4" t="inlineStr">
        <is>
          <t>Пескетарианка</t>
        </is>
      </c>
      <c r="P4" t="inlineStr">
        <is>
          <t>Больше 6 часов</t>
        </is>
      </c>
      <c r="Q4" t="inlineStr">
        <is>
          <t>30–60 минут</t>
        </is>
      </c>
      <c r="R4" t="inlineStr">
        <is>
          <t>Зависит от спикера</t>
        </is>
      </c>
      <c r="T4" t="inlineStr">
        <is>
          <t>5 000–7 000 ₽</t>
        </is>
      </c>
      <c r="U4" t="inlineStr">
        <is>
          <t>Подруга</t>
        </is>
      </c>
      <c r="V4" t="inlineStr">
        <is>
          <t>Лучше перепишемся</t>
        </is>
      </c>
      <c r="X4" t="inlineStr">
        <is>
          <t>5–10 лет</t>
        </is>
      </c>
      <c r="Z4" t="inlineStr">
        <is>
          <t>🙅‍♀️ Пока нет</t>
        </is>
      </c>
      <c r="AA4" t="inlineStr">
        <is>
          <t>🤝 Обсудим</t>
        </is>
      </c>
      <c r="AC4" t="inlineStr">
        <is>
          <t>10–50 тыс.</t>
        </is>
      </c>
      <c r="AD4" t="inlineStr">
        <is>
          <t>Больше 10 000 ₽</t>
        </is>
      </c>
      <c r="AF4" t="inlineStr">
        <is>
          <t>🏋️‍♀️ Фитнес-клуб</t>
        </is>
      </c>
      <c r="AG4" t="inlineStr">
        <is>
          <t>Больше 2 000</t>
        </is>
      </c>
      <c r="AH4" t="inlineStr">
        <is>
          <t>Больше 10 тыс.</t>
        </is>
      </c>
      <c r="AI4" t="inlineStr">
        <is>
          <t>Лучше в переписке</t>
        </is>
      </c>
      <c r="AL4" t="inlineStr">
        <is>
          <t>10–50 тыс.</t>
        </is>
      </c>
    </row>
    <row r="5">
      <c r="A5" t="inlineStr">
        <is>
          <t>Грузия</t>
        </is>
      </c>
      <c r="B5" t="inlineStr">
        <is>
          <t>Владелица бизнеса / Предприниматель</t>
        </is>
      </c>
      <c r="D5" t="inlineStr">
        <is>
          <t>Выше среднего</t>
        </is>
      </c>
      <c r="E5" t="inlineStr">
        <is>
          <t>Живу в общежитии</t>
        </is>
      </c>
      <c r="F5" t="inlineStr">
        <is>
          <t>Режим скачет: дети, смены, перелёты</t>
        </is>
      </c>
      <c r="H5" t="inlineStr">
        <is>
          <t>Карьера, бизнес и финансовая независимость</t>
        </is>
      </c>
      <c r="K5" t="inlineStr">
        <is>
          <t>30 000–60 000 ₽</t>
        </is>
      </c>
      <c r="M5" t="inlineStr">
        <is>
          <t>После 9:00</t>
        </is>
      </c>
      <c r="N5" t="inlineStr">
        <is>
          <t>После 01:00</t>
        </is>
      </c>
      <c r="O5" t="inlineStr">
        <is>
          <t>Фрукторианка</t>
        </is>
      </c>
      <c r="P5" t="inlineStr">
        <is>
          <t>Не знаю</t>
        </is>
      </c>
      <c r="Q5" t="inlineStr">
        <is>
          <t>Больше часа</t>
        </is>
      </c>
      <c r="T5" t="inlineStr">
        <is>
          <t>7 000–10 000 ₽</t>
        </is>
      </c>
      <c r="U5" t="inlineStr">
        <is>
          <t>Эксперт</t>
        </is>
      </c>
      <c r="V5" t="inlineStr">
        <is>
          <t>Нет, спасибо</t>
        </is>
      </c>
      <c r="X5" t="inlineStr">
        <is>
          <t>больше 10 лет</t>
        </is>
      </c>
      <c r="AC5" t="inlineStr">
        <is>
          <t>Больше 50 тыс.</t>
        </is>
      </c>
      <c r="AD5" t="inlineStr">
        <is>
          <t>Не консультирую</t>
        </is>
      </c>
      <c r="AF5" t="inlineStr">
        <is>
          <t>✨ Косметология</t>
        </is>
      </c>
      <c r="AL5" t="inlineStr">
        <is>
          <t>Больше 50 тыс.</t>
        </is>
      </c>
    </row>
    <row r="6">
      <c r="A6" t="inlineStr">
        <is>
          <t>Армения</t>
        </is>
      </c>
      <c r="B6" t="inlineStr">
        <is>
          <t>Руководитель / Топ-менеджер</t>
        </is>
      </c>
      <c r="D6" t="inlineStr">
        <is>
          <t>Высокий</t>
        </is>
      </c>
      <c r="E6" t="inlineStr">
        <is>
          <t>Служебное жильё</t>
        </is>
      </c>
      <c r="H6" t="inlineStr">
        <is>
          <t>Окружение и социальные связи</t>
        </is>
      </c>
      <c r="K6" t="inlineStr">
        <is>
          <t>60 000 ₽ и больше</t>
        </is>
      </c>
      <c r="M6" t="inlineStr">
        <is>
          <t>Каждый день по-разному</t>
        </is>
      </c>
      <c r="N6" t="inlineStr">
        <is>
          <t>По-разному</t>
        </is>
      </c>
      <c r="O6" t="inlineStr">
        <is>
          <t>Слежу: ПП, без сахара или глютена</t>
        </is>
      </c>
      <c r="T6" t="inlineStr">
        <is>
          <t>10 000 ₽ и больше</t>
        </is>
      </c>
      <c r="U6" t="inlineStr">
        <is>
          <t>Студия или салон</t>
        </is>
      </c>
      <c r="AF6" t="inlineStr">
        <is>
          <t>💆‍♀️ SPA и массаж</t>
        </is>
      </c>
    </row>
    <row r="7">
      <c r="B7" t="inlineStr">
        <is>
          <t>Специалист / Линейный сотрудник</t>
        </is>
      </c>
      <c r="D7" t="inlineStr">
        <is>
          <t>На обеспечении</t>
        </is>
      </c>
      <c r="E7" t="inlineStr">
        <is>
          <t>Временное размещение</t>
        </is>
      </c>
      <c r="H7" t="inlineStr">
        <is>
          <t>Личностный рост и самоопределение</t>
        </is>
      </c>
      <c r="U7" t="inlineStr">
        <is>
          <t>Мероприятие</t>
        </is>
      </c>
      <c r="AF7" t="inlineStr">
        <is>
          <t>🥗 Здоровое питание</t>
        </is>
      </c>
    </row>
    <row r="8">
      <c r="B8" t="inlineStr">
        <is>
          <t>Обслуживающий / Технический персонал</t>
        </is>
      </c>
      <c r="H8" t="inlineStr">
        <is>
          <t>Время для себя и яркость жизни</t>
        </is>
      </c>
      <c r="AF8" t="inlineStr">
        <is>
          <t>🧠 Психологический центр</t>
        </is>
      </c>
    </row>
    <row r="9">
      <c r="B9" t="inlineStr">
        <is>
          <t>Студентка</t>
        </is>
      </c>
      <c r="H9" t="inlineStr">
        <is>
          <t>В своём прайме, всё хорошо</t>
        </is>
      </c>
      <c r="AF9" t="inlineStr">
        <is>
          <t>🏥 Женское здоровье</t>
        </is>
      </c>
    </row>
    <row r="10">
      <c r="B10" t="inlineStr">
        <is>
          <t>В декретном отпуске</t>
        </is>
      </c>
      <c r="AF10" t="inlineStr">
        <is>
          <t>👶 Центр для мам и детей</t>
        </is>
      </c>
    </row>
    <row r="11">
      <c r="B11" t="inlineStr">
        <is>
          <t>Домохозяйка</t>
        </is>
      </c>
      <c r="AF11" t="inlineStr">
        <is>
          <t>🏠 Пространство для встреч</t>
        </is>
      </c>
    </row>
    <row r="12">
      <c r="B12" t="inlineStr">
        <is>
          <t>Временно не работаю</t>
        </is>
      </c>
      <c r="AF12" t="inlineStr">
        <is>
          <t>🛍 Бренд для маркета</t>
        </is>
      </c>
    </row>
    <row r="13">
      <c r="B13" t="inlineStr">
        <is>
          <t>Не работаю</t>
        </is>
      </c>
      <c r="AF13" t="inlineStr">
        <is>
          <t>🎤 Организатор мероприятий</t>
        </is>
      </c>
    </row>
    <row r="14">
      <c r="AF14" t="inlineStr">
        <is>
          <t>⭐ Спонсор</t>
        </is>
      </c>
    </row>
    <row r="15">
      <c r="AF15" t="inlineStr">
        <is>
          <t>📱 Медиа и блогеры</t>
        </is>
      </c>
    </row>
    <row r="16">
      <c r="AF16" t="inlineStr">
        <is>
          <t>📚 Образование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2026-10-15T12:28:05Z</dcterms:created>
  <dcterms:modified xsi:type="dcterms:W3CDTF">2026-10-15T12:28:05Z</dcterms:modified>
</cp:coreProperties>
</file>