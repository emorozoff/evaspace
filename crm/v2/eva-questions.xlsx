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к пользоваться" sheetId="1" state="visible" r:id="rId3"/>
    <sheet name="Клиентки (кастдев)" sheetId="2" state="visible" r:id="rId4"/>
    <sheet name="Эксперты" sheetId="3" state="visible" r:id="rId5"/>
    <sheet name="Партнёры" sheetId="4" state="visible" r:id="rId6"/>
    <sheet name="Амбассадоры" sheetId="5" state="visible" r:id="rId7"/>
    <sheet name="Списки" sheetId="6" state="hidden" r:id="rId8"/>
  </sheets>
  <definedNames>
    <definedName function="false" hidden="false" localSheetId="4" name="_xlnm.Print_Titles" vbProcedure="false">Амбассадоры!$4:$4</definedName>
    <definedName function="false" hidden="false" localSheetId="1" name="_xlnm.Print_Titles" vbProcedure="false">'Клиентки (кастдев)'!$4:$4</definedName>
    <definedName function="false" hidden="false" localSheetId="3" name="_xlnm.Print_Titles" vbProcedure="false">Партнёры!$4:$4</definedName>
    <definedName function="false" hidden="false" localSheetId="2" name="_xlnm.Print_Titles" vbProcedure="false">Эксперты!$4:$4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Как выглядят заполненные ответы: вымышленный человек из примера в CRM. Столбец можно удалить.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Как выглядят заполненные ответы: вымышленный человек из примера в CRM. Столбец можно удалить.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Как выглядят заполненные ответы: вымышленный человек из примера в CRM. Столбец можно удалить.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Как выглядят заполненные ответы: вымышленный человек из примера в CRM. Столбец можно удалить.</t>
        </r>
      </text>
    </comment>
  </commentList>
</comments>
</file>

<file path=xl/sharedStrings.xml><?xml version="1.0" encoding="utf-8"?>
<sst xmlns="http://schemas.openxmlformats.org/spreadsheetml/2006/main" count="729" uniqueCount="479">
  <si>
    <t xml:space="preserve">Вопросы Eva CRM 2.0 — анкета, созвон и итог</t>
  </si>
  <si>
    <t xml:space="preserve">Вкладки</t>
  </si>
  <si>
    <t xml:space="preserve">Клиентки (кастдев), Эксперты, Партнёры, Амбассадоры. На каждой три блока — как три шага в CRM: 1. Анкета → 2. Созвон → 3. Итог.</t>
  </si>
  <si>
    <t xml:space="preserve">Править вопросы</t>
  </si>
  <si>
    <t xml:space="preserve">Меняйте текст прямо в столбце «Вопрос», варианты — в «Варианты ответа». Новый вопрос — вставьте строку внутри нужного блока. Лишний — удалите строку.</t>
  </si>
  <si>
    <t xml:space="preserve">Вписывать ответы</t>
  </si>
  <si>
    <t xml:space="preserve">Жёлтые столбцы «Человек 1, 2, 3…» — один столбец на человека. Имя из первого вопроса анкеты само встанет в заголовок столбца.</t>
  </si>
  <si>
    <t xml:space="preserve">Как вписывать</t>
  </si>
  <si>
    <t xml:space="preserve">Один вариант — выберите из списка в ячейке или впишите свой. Несколько вариантов — через запятую. Шкала — цифра от 1 до 5. Дата — 25.09.2026.</t>
  </si>
  <si>
    <t xml:space="preserve">Пример</t>
  </si>
  <si>
    <t xml:space="preserve">Серый столбец «Пример» показывает, как выглядят заполненные ответы (вымышленный человек из демо в CRM). Его можно удалить.</t>
  </si>
  <si>
    <t xml:space="preserve">Ответили</t>
  </si>
  <si>
    <t xml:space="preserve">Столбец считается сам: сколько человек ответили на вопрос.</t>
  </si>
  <si>
    <t xml:space="preserve">Перенести в CRM</t>
  </si>
  <si>
    <t xml:space="preserve">Таблица с CRM не связана. Чтобы правка вопроса попала в анкету по ссылке, повторите её в CRM: «Вопросы» → значок карандаша у вопроса. Новые ссылки сразу будут с правкой.</t>
  </si>
  <si>
    <t xml:space="preserve">Сводка</t>
  </si>
  <si>
    <t xml:space="preserve">Группа</t>
  </si>
  <si>
    <t xml:space="preserve">Вопросов в анкете</t>
  </si>
  <si>
    <t xml:space="preserve">Вопросов для созвона</t>
  </si>
  <si>
    <t xml:space="preserve">Людей с анкетой</t>
  </si>
  <si>
    <t xml:space="preserve">Созвонов проведено</t>
  </si>
  <si>
    <t xml:space="preserve">Клиентки (кастдев)</t>
  </si>
  <si>
    <t xml:space="preserve">Эксперты</t>
  </si>
  <si>
    <t xml:space="preserve">Партнёры</t>
  </si>
  <si>
    <t xml:space="preserve">Амбассадоры</t>
  </si>
  <si>
    <t xml:space="preserve">Всего</t>
  </si>
  <si>
    <t xml:space="preserve">Справочно: 14 направлений экспертов</t>
  </si>
  <si>
    <t xml:space="preserve">🏋️‍♀️ Фитнес · 🤸‍♀️ Растяжка · 🧠 Психология · ☯️ Цигун · 💌 Аффирмации · 🌬 Медитация и дыхание · 👶 Для мам · 💄 Красота и здоровье · 🧭 Предназначение · 💗 Отношения · 🧘‍♀️ Йога · 🤰 Для беременных · 🌺 Женские практики · 💰 Финансы</t>
  </si>
  <si>
    <t xml:space="preserve">Категории партнёров</t>
  </si>
  <si>
    <t xml:space="preserve">💅 Салон красоты · 🤸‍♀️ Студия пилатеса · 🧘‍♀️ Йога-студия · 🏋️‍♀️ Фитнес-клуб · ✨ Косметология · 💆‍♀️ SPA и массаж · 🥗 Здоровое питание · 🧠 Психологический центр · 🏥 Женское здоровье · 👶 Центр для мам и детей · 🏠 Пространство для встреч · 🛍 Бренд для маркета · 🎤 Организатор мероприятий · ⭐ Спонсор · 📱 Медиа и блогеры · 📚 Образование</t>
  </si>
  <si>
    <t xml:space="preserve">🌸 Кастдев — клиентки</t>
  </si>
  <si>
    <t xml:space="preserve">Кастдев: что болит, что нравится и что улучшить в Еве. Три шага, как в CRM: Анкета → Интервью → Итог. Обращаемся на «ты».</t>
  </si>
  <si>
    <t xml:space="preserve">Жёлтые столбцы — для ответов, по одному на человека. Вопросы и варианты можно править прямо здесь.</t>
  </si>
  <si>
    <t xml:space="preserve">№</t>
  </si>
  <si>
    <t xml:space="preserve">Вопрос</t>
  </si>
  <si>
    <t xml:space="preserve">Как отвечать</t>
  </si>
  <si>
    <t xml:space="preserve">Варианты ответа / зачем спрашиваем</t>
  </si>
  <si>
    <t xml:space="preserve">1. АНКЕТА — человек заполняет сам по ссылке или вы за него</t>
  </si>
  <si>
    <t xml:space="preserve">Как тебя зовут? 🌸</t>
  </si>
  <si>
    <t xml:space="preserve">Короткий ответ</t>
  </si>
  <si>
    <t xml:space="preserve">Подсказка в поле: Имя</t>
  </si>
  <si>
    <t xml:space="preserve">Ольга</t>
  </si>
  <si>
    <t xml:space="preserve">Сколько тебе лет?</t>
  </si>
  <si>
    <t xml:space="preserve">Один вариант</t>
  </si>
  <si>
    <t xml:space="preserve">до 25 · 25–34 · 35–44 · 45+</t>
  </si>
  <si>
    <t xml:space="preserve">35–44</t>
  </si>
  <si>
    <t xml:space="preserve">Где ты живёшь? 📍</t>
  </si>
  <si>
    <t xml:space="preserve">Москва · Санкт-Петербург · Город-миллионник · Небольшой город · Не в России</t>
  </si>
  <si>
    <t xml:space="preserve">Санкт-Петербург</t>
  </si>
  <si>
    <t xml:space="preserve">Какой у тебя сейчас этап жизни?</t>
  </si>
  <si>
    <t xml:space="preserve">🤰 Беременность · 👶 Мама малыша · 🎒 Мама школьника · 💼 Карьера · 🚀 Своё дело · 🧭 Ищу своё направление · 🌷 Просто хочу для себя</t>
  </si>
  <si>
    <t xml:space="preserve">👶 Мама малыша</t>
  </si>
  <si>
    <t xml:space="preserve">Что для тебя сейчас важнее всего? Выбери до двух</t>
  </si>
  <si>
    <t xml:space="preserve">Несколько вариантов (до 2)</t>
  </si>
  <si>
    <t xml:space="preserve">👑 Уверенность в себе · 🌊 Спокойствие · 🔥 Энергия и силы · 💗 Отношения · 💎 Деньги и своё дело · 🌸 Тело и здоровье</t>
  </si>
  <si>
    <t xml:space="preserve">🔥 Энергия и силы, 👑 Уверенность в себе</t>
  </si>
  <si>
    <t xml:space="preserve">Что беспокоит чаще всего? Выбери до двух</t>
  </si>
  <si>
    <t xml:space="preserve">🌫 Тревога · 🫧 Усталость и выгорание · 🪞 Постоянно себя ругаю · 🌜 Плохо сплю · ⏳ Нет времени на себя · 🤍 Одиночество</t>
  </si>
  <si>
    <t xml:space="preserve">🌫 Тревога, 🌜 Плохо сплю</t>
  </si>
  <si>
    <t xml:space="preserve">Сколько минут в день реально готова уделять себе? ⏱</t>
  </si>
  <si>
    <t xml:space="preserve">5–10 минут · 15–20 минут · 30 минут и больше</t>
  </si>
  <si>
    <t xml:space="preserve">5–10 минут</t>
  </si>
  <si>
    <t xml:space="preserve">Когда тебе удобнее заниматься собой?</t>
  </si>
  <si>
    <t xml:space="preserve">🌅 Утром · ☀️ Днём · 🌆 Вечером · 🌙 Перед сном</t>
  </si>
  <si>
    <t xml:space="preserve">🌅 Утром</t>
  </si>
  <si>
    <t xml:space="preserve">Что ты уже пробовала? ✨</t>
  </si>
  <si>
    <t xml:space="preserve">Несколько вариантов</t>
  </si>
  <si>
    <t xml:space="preserve">📱 Приложения медитаций · 🧘‍♀️ Йога или фитнес · 🛋 Психолог · 🎓 Онлайн-курсы · 📣 Марафоны блогеров · 🙅‍♀️ Пока ничего</t>
  </si>
  <si>
    <t xml:space="preserve">🎓 Онлайн-курсы</t>
  </si>
  <si>
    <t xml:space="preserve">Сколько в месяц тратишь на себя: курсы, практики, спорт? 💳</t>
  </si>
  <si>
    <t xml:space="preserve">Ничего · До 1 000 ₽ · 1 000–3 000 ₽ · 3 000–7 000 ₽ · Больше 7 000 ₽</t>
  </si>
  <si>
    <t xml:space="preserve">1 000–3 000 ₽</t>
  </si>
  <si>
    <t xml:space="preserve">Что было бы интересно в Еве? Выбери до трёх</t>
  </si>
  <si>
    <t xml:space="preserve">Несколько вариантов (до 3)</t>
  </si>
  <si>
    <t xml:space="preserve">🧘‍♀️ Короткие практики · 🎓 Мастер-классы экспертов · 📚 Курсы · 📡 Живые эфиры · 👭 Сообщество · 🏠 Офлайн-встречи · 🤖 Ева — ИИ-помощница · 🌙 Календарь цикла</t>
  </si>
  <si>
    <t xml:space="preserve">👭 Сообщество, 📚 Курсы, 🤖 Ева — ИИ-помощница</t>
  </si>
  <si>
    <t xml:space="preserve">Сколько было бы комфортно платить за подписку в месяц? 💸</t>
  </si>
  <si>
    <t xml:space="preserve">До 500 ₽ · 500–1 500 ₽ · 1 500–3 000 ₽ · Больше 3 000 ₽</t>
  </si>
  <si>
    <t xml:space="preserve">1 500–3 000 ₽</t>
  </si>
  <si>
    <t xml:space="preserve">Насколько тебе откликается идея Евы — помощницы, которая каждый день подбирает практики под тебя?</t>
  </si>
  <si>
    <t xml:space="preserve">Шкала 1–5</t>
  </si>
  <si>
    <t xml:space="preserve">1 — совсем нет … 5 — очень!</t>
  </si>
  <si>
    <t xml:space="preserve">Откуда ты узнала о Еве? 👀</t>
  </si>
  <si>
    <t xml:space="preserve">Telegram · ВКонтакте · Блогер · Подруга · Эксперт · Студия или салон · Мероприятие · Другое</t>
  </si>
  <si>
    <t xml:space="preserve">Telegram</t>
  </si>
  <si>
    <t xml:space="preserve">Готова созвониться на 20–30 минут в Zoom? 🎤 Нам очень важно твоё мнение</t>
  </si>
  <si>
    <t xml:space="preserve">📅 Да, в будни днём · 🌆 Да, в будни вечером · 🗓 Да, в выходные · 💬 Лучше перепишемся · 🙅‍♀️ Нет, спасибо</t>
  </si>
  <si>
    <t xml:space="preserve">🗓 Да, в выходные</t>
  </si>
  <si>
    <t xml:space="preserve">Твой Telegram или телефон — чтобы договориться о звонке 📲</t>
  </si>
  <si>
    <t xml:space="preserve">Подсказка в поле: @username или +7…</t>
  </si>
  <si>
    <t xml:space="preserve">@olga</t>
  </si>
  <si>
    <t xml:space="preserve">2. ИНТЕРВЬЮ — открытые вопросы для Zoom, 20–30 минут. Записывайте коротко, своими словами</t>
  </si>
  <si>
    <t xml:space="preserve">Дата созвона</t>
  </si>
  <si>
    <t xml:space="preserve">Дата</t>
  </si>
  <si>
    <t xml:space="preserve">Например: 25.09.2026</t>
  </si>
  <si>
    <t xml:space="preserve">Кто вёл</t>
  </si>
  <si>
    <t xml:space="preserve">Имя из команды</t>
  </si>
  <si>
    <t xml:space="preserve">Расскажи немного о себе: чем занимаешься и как выглядит твой обычный день?</t>
  </si>
  <si>
    <t xml:space="preserve">Открытый ответ</t>
  </si>
  <si>
    <t xml:space="preserve">Зачем: Контекст: где в дне есть время для себя</t>
  </si>
  <si>
    <t xml:space="preserve">Работаю в IT удалённо, двое детей. Утро — сборы в сад, вечером падаю. Для себя остаётся минут 15 перед сном.</t>
  </si>
  <si>
    <t xml:space="preserve">Когда ты последний раз специально делала что-то для себя — практику, спорт, курс? Как это было?</t>
  </si>
  <si>
    <t xml:space="preserve">Зачем: Реальное поведение, а не намерения</t>
  </si>
  <si>
    <t xml:space="preserve">Месяц назад ходила на пилатес, потом отпуск — и выпала.</t>
  </si>
  <si>
    <t xml:space="preserve">Что сейчас больше всего забирает твои силы или настроение? Когда это было в последний раз?</t>
  </si>
  <si>
    <t xml:space="preserve">Зачем: Настоящая боль и как часто она бывает</t>
  </si>
  <si>
    <t xml:space="preserve">Ругаю себя за всё: что мало с ребёнком, что поправилась, что не работаю.</t>
  </si>
  <si>
    <t xml:space="preserve">Что ты уже пробовала, чтобы с этим справиться? Что сработало, а что бросила — и почему?</t>
  </si>
  <si>
    <t xml:space="preserve">Зачем: Альтернативы и почему от них уходят</t>
  </si>
  <si>
    <t xml:space="preserve">Пробовала Calm и Headspace — нравилось первые дни, потом стало скучно и дорого. Психолог помогал, но 5 000 за сессию не потянуть.</t>
  </si>
  <si>
    <t xml:space="preserve">Какими приложениями, каналами или курсами «про себя» ты пользуешься? За что платила последний раз и сколько?</t>
  </si>
  <si>
    <t xml:space="preserve">Зачем: Конкуренты и реальный чек</t>
  </si>
  <si>
    <t xml:space="preserve">Последний раз купила курс за 7 900 — прошла половину.</t>
  </si>
  <si>
    <t xml:space="preserve">Вспомни момент, когда ты бросила практику или курс. Что тогда произошло?</t>
  </si>
  <si>
    <t xml:space="preserve">Зачем: Барьеры: почему люди уходят</t>
  </si>
  <si>
    <t xml:space="preserve">Надоели одинаковые упражнения.</t>
  </si>
  <si>
    <t xml:space="preserve">Кому ты доверяешь в этих темах — эксперту, блогеру, подруге? Что тебя отталкивает?</t>
  </si>
  <si>
    <t xml:space="preserve">Зачем: Доверие и выбор экспертов</t>
  </si>
  <si>
    <t xml:space="preserve">Доверяю подруге и врачу. Блогерам — нет, если всё время продают.</t>
  </si>
  <si>
    <t xml:space="preserve">Представь помощницу, которая каждый день заботится о тебе. Что она делает утром, днём и вечером?</t>
  </si>
  <si>
    <t xml:space="preserve">Зачем: Идеальный день — ориентир для программы</t>
  </si>
  <si>
    <t xml:space="preserve">Спрашивает, как я, и предлагает одну маленькую вещь под настроение.</t>
  </si>
  <si>
    <t xml:space="preserve">Если уже пробовала Еву: что было самым полезным? Что раздражало или было непонятно?</t>
  </si>
  <si>
    <t xml:space="preserve">Зачем: Прямая обратная связь о продукте</t>
  </si>
  <si>
    <t xml:space="preserve">Сложно найти, где мои мастер-классы — много разделов.</t>
  </si>
  <si>
    <t xml:space="preserve">Какой формат тебе ближе: короткая практика, мастер-класс, эфир, общение с девушками, офлайн-встреча? Почему?</t>
  </si>
  <si>
    <t xml:space="preserve">Зачем: Что снимать в первую очередь</t>
  </si>
  <si>
    <t xml:space="preserve">Короткие практики и иногда живые эфиры. На офлайн нет времени.</t>
  </si>
  <si>
    <t xml:space="preserve">Когда тебе удобно получать напоминания? Какие уведомления тебя бесят?</t>
  </si>
  <si>
    <t xml:space="preserve">Зачем: Пуши, которые не раздражают</t>
  </si>
  <si>
    <t xml:space="preserve">Утром в 7, до работы. Не пишите в выходные.</t>
  </si>
  <si>
    <t xml:space="preserve">Сколько, по-твоему, должна стоить такая подписка? При какой цене это «дорого», а при какой — «подозрительно дёшево»?</t>
  </si>
  <si>
    <t xml:space="preserve">Зачем: Коридор цены</t>
  </si>
  <si>
    <t xml:space="preserve">Готова платить, если будут живые эфиры с экспертами.</t>
  </si>
  <si>
    <t xml:space="preserve">Что должно произойти, чтобы ты сказала подруге «попробуй Еву»? Кому бы ты её посоветовала?</t>
  </si>
  <si>
    <t xml:space="preserve">Зачем: Рекомендации и реферальная программа</t>
  </si>
  <si>
    <t xml:space="preserve">Если реально поможет со сном — посоветую сестре и подругам из мамского чата.</t>
  </si>
  <si>
    <t xml:space="preserve">Если бы Ева была твоей: что бы ты добавила, а что убрала?</t>
  </si>
  <si>
    <t xml:space="preserve">Зачем: Идеи улучшений</t>
  </si>
  <si>
    <t xml:space="preserve">Добавила бы голосовую Еву и практики для сна.</t>
  </si>
  <si>
    <t xml:space="preserve">Можно написать тебе через месяц? Кого из подруг нам стоит расспросить?</t>
  </si>
  <si>
    <t xml:space="preserve">Зачем: Следующие респондентки</t>
  </si>
  <si>
    <t xml:space="preserve">Можно, но лучше в Telegram.</t>
  </si>
  <si>
    <t xml:space="preserve">+</t>
  </si>
  <si>
    <t xml:space="preserve">Что ещё важного прозвучало</t>
  </si>
  <si>
    <t xml:space="preserve">Всё, что не попало в вопросы</t>
  </si>
  <si>
    <t xml:space="preserve">3. ИТОГ — сразу после созвона</t>
  </si>
  <si>
    <t xml:space="preserve">Что услышали (метки)</t>
  </si>
  <si>
    <t xml:space="preserve">⏳ Нет времени · 💸 Дорого · 📱 Неудобно в приложении · 🔔 Бесят пуши · 🎓 Хочет экспертов · 👭 Хочет сообщество · 🏠 Хочет офлайн · 🧘‍♀️ Любит короткие практики · 🌙 Проблемы со сном · 🤖 Нравится Ева-помощница · 💡 Идея фичи · ❤️ Готова рекомендовать</t>
  </si>
  <si>
    <t xml:space="preserve">⏳ Нет времени, 🧘‍♀️ Любит короткие практики, 🔔 Бесят пуши</t>
  </si>
  <si>
    <t xml:space="preserve">Главный инсайт — одной фразой</t>
  </si>
  <si>
    <t xml:space="preserve">Развёрнутый ответ</t>
  </si>
  <si>
    <t xml:space="preserve">Например: бросает практики, когда болеет ребёнок — нужен режим «пауза без чувства вины»</t>
  </si>
  <si>
    <t xml:space="preserve">Бросает, когда пропускает пару дней и «сгорают» звёзды — нужен режим паузы без чувства вины.</t>
  </si>
  <si>
    <t xml:space="preserve">Что улучшить в Еве</t>
  </si>
  <si>
    <t xml:space="preserve">Идеи и просьбы</t>
  </si>
  <si>
    <t xml:space="preserve">Режим «5 минут», пуши вечером, пауза для звёзд.</t>
  </si>
  <si>
    <t xml:space="preserve">Статус</t>
  </si>
  <si>
    <t xml:space="preserve">Инсайты собраны · Готова помогать ещё</t>
  </si>
  <si>
    <t xml:space="preserve">Инсайты собраны</t>
  </si>
  <si>
    <t xml:space="preserve">🎓 Эксперты</t>
  </si>
  <si>
    <t xml:space="preserve">Подключаем экспертов: что снимаем, когда и на каких условиях. Три шага, как в CRM: Анкета → Созвон → Итог. Обращаемся на «вы».</t>
  </si>
  <si>
    <t xml:space="preserve">Как вас зовут? ✨</t>
  </si>
  <si>
    <t xml:space="preserve">Подсказка в поле: Имя и фамилия</t>
  </si>
  <si>
    <t xml:space="preserve">Марина Ясная</t>
  </si>
  <si>
    <t xml:space="preserve">Ваш город 📍</t>
  </si>
  <si>
    <t xml:space="preserve">Подсказка в поле: Москва</t>
  </si>
  <si>
    <t xml:space="preserve">Москва</t>
  </si>
  <si>
    <t xml:space="preserve">Ваше направление в Еве — выберите до трёх</t>
  </si>
  <si>
    <t xml:space="preserve">🏋️‍♀️ Фитнес · 🤸‍♀️ Растяжка · 🧠 Психология · ☯️ Цигун · 💌 Аффирмации · 🌬 Медитация и дыхание · 👶 Для мам · 💄 Красота и здоровье · 🧭 Предназначение · 💗 Отношения · 🧘‍♀️ Йога · 🤰 Для беременных · 🌺 Женские практики · 💰 Финансы · ✨ Другое</t>
  </si>
  <si>
    <t xml:space="preserve">🧠 Психология</t>
  </si>
  <si>
    <t xml:space="preserve">В какой теме вы эксперт? Одной фразой</t>
  </si>
  <si>
    <t xml:space="preserve">Подсказка в поле: Например: дыхание при тревоге</t>
  </si>
  <si>
    <t xml:space="preserve">Самокритика и внутренний критик</t>
  </si>
  <si>
    <t xml:space="preserve">Сколько лет в профессии?</t>
  </si>
  <si>
    <t xml:space="preserve">до года · 1–3 года · 3–5 лет · 5–10 лет · больше 10 лет</t>
  </si>
  <si>
    <t xml:space="preserve">3–5 лет</t>
  </si>
  <si>
    <t xml:space="preserve">Образование по профилю 🎓</t>
  </si>
  <si>
    <t xml:space="preserve">Диплом по профилю · Сертификаты и курсы · Большая практика без документов</t>
  </si>
  <si>
    <t xml:space="preserve">Диплом по профилю</t>
  </si>
  <si>
    <t xml:space="preserve">Что у вас уже есть? 📦</t>
  </si>
  <si>
    <t xml:space="preserve">🎬 Записанный курс · 📡 Живой курс или марафон · 🎓 Мастер-классы · 🧘‍♀️ Практики и медитации · 💬 Консультации · 🏠 Офлайн-встречи и ретриты · ✨ Пока ничего</t>
  </si>
  <si>
    <t xml:space="preserve">🎓 Мастер-классы, 💬 Консультации, 🧘‍♀️ Практики и медитации, 📡 Живой курс или марафон</t>
  </si>
  <si>
    <t xml:space="preserve">Хотите снять курс вместе с Евой? 🎥</t>
  </si>
  <si>
    <t xml:space="preserve">🔥 Да, уже есть идея · 🤔 Возможно, обсудим · 📦 Есть готовый — хочу разместить · 🙅‍♀️ Пока нет</t>
  </si>
  <si>
    <t xml:space="preserve">🔥 Да, уже есть идея</t>
  </si>
  <si>
    <t xml:space="preserve">Что можем записать с вами? 🎬</t>
  </si>
  <si>
    <t xml:space="preserve">💌 Послания и аффирмации (1–2 мин) · 🧘‍♀️ Короткие практики (5–15 мин) · 🎓 Мастер-класс (20–40 мин) · 📚 Курс · 📡 Эфир или вопрос-ответ · 🏠 Офлайн-встречу</t>
  </si>
  <si>
    <t xml:space="preserve">🎓 Мастер-класс (20–40 мин), 💌 Послания и аффирмации (1–2 мин), 📡 Эфир или вопрос-ответ, 🧘‍♀️ Короткие практики (5–15 мин)</t>
  </si>
  <si>
    <t xml:space="preserve">Где удобнее снимать?</t>
  </si>
  <si>
    <t xml:space="preserve">🏙 Приеду в студию в Москве · 🎥 Есть своя качественная съёмка · 💻 Только онлайн · 🤝 Обсудим</t>
  </si>
  <si>
    <t xml:space="preserve">🏙 Приеду в студию в Москве</t>
  </si>
  <si>
    <t xml:space="preserve">Сколько времени готовы выделить на съёмки? 📅</t>
  </si>
  <si>
    <t xml:space="preserve">1 день · 2–3 дня · Регулярно, раз в месяц</t>
  </si>
  <si>
    <t xml:space="preserve">Регулярно, раз в месяц</t>
  </si>
  <si>
    <t xml:space="preserve">Ваша аудитория в соцсетях 👥</t>
  </si>
  <si>
    <t xml:space="preserve">Пока нет · До 1 тыс. · 1–10 тыс. · 10–50 тыс. · Больше 50 тыс.</t>
  </si>
  <si>
    <t xml:space="preserve">1–10 тыс.</t>
  </si>
  <si>
    <t xml:space="preserve">Где ваша аудитория?</t>
  </si>
  <si>
    <t xml:space="preserve">Telegram · ВКонтакте · YouTube · Instagram* · Дзен · Офлайн</t>
  </si>
  <si>
    <t xml:space="preserve">Instagram*, Telegram</t>
  </si>
  <si>
    <t xml:space="preserve">Какой формат сотрудничества интересен? 🤝</t>
  </si>
  <si>
    <t xml:space="preserve">💰 Доля с продаж курсов · 💵 Фикс за съёмку · 💬 Консультации через Еву · 📣 Продвижение моего бренда · 🤷‍♀️ Всё обсуждаемо</t>
  </si>
  <si>
    <t xml:space="preserve">📣 Продвижение моего бренда, 💰 Доля с продаж курсов</t>
  </si>
  <si>
    <t xml:space="preserve">Сколько стоит ваша консультация?</t>
  </si>
  <si>
    <t xml:space="preserve">До 3 000 ₽ · 3 000–6 000 ₽ · 6 000–10 000 ₽ · Больше 10 000 ₽ · Не консультирую</t>
  </si>
  <si>
    <t xml:space="preserve">Больше 10 000 ₽</t>
  </si>
  <si>
    <t xml:space="preserve">Где посмотреть на вашу работу? 🔗</t>
  </si>
  <si>
    <t xml:space="preserve">Подсказка в поле: Ссылка на канал или сайт</t>
  </si>
  <si>
    <t xml:space="preserve">t.me/marina</t>
  </si>
  <si>
    <t xml:space="preserve">Telegram или телефон для связи 📲</t>
  </si>
  <si>
    <t xml:space="preserve">@marina</t>
  </si>
  <si>
    <t xml:space="preserve">2. СОЗВОН — открытые вопросы для Zoom, 20–30 минут. Записывайте коротко, своими словами</t>
  </si>
  <si>
    <t xml:space="preserve">С чем к вам чаще всего приходят женщины? Какой результат они получают?</t>
  </si>
  <si>
    <t xml:space="preserve">Зачем: Ценность эксперта для нашей аудитории</t>
  </si>
  <si>
    <t xml:space="preserve">С тревогой и ощущением «я плохая мама». Через месяц практик — спокойнее реагируют и лучше спят.</t>
  </si>
  <si>
    <t xml:space="preserve">Как сейчас устроена ваша работа: откуда клиенты, что продаёте, что приносит больше всего?</t>
  </si>
  <si>
    <t xml:space="preserve">Зачем: Бизнес эксперта и его мотивация</t>
  </si>
  <si>
    <t xml:space="preserve">Какие продукты у вас уже есть — курсы, мастер-классы, практики? Что лучше всего покупают?</t>
  </si>
  <si>
    <t xml:space="preserve">Зачем: Готовый контент для Евы</t>
  </si>
  <si>
    <t xml:space="preserve">Есть курс из 6 уроков и 10 практик. Лучше всего покупают короткие практики по 10 минут.</t>
  </si>
  <si>
    <t xml:space="preserve">Что вы давно хотели снять, но пока не сняли? Что мешает?</t>
  </si>
  <si>
    <t xml:space="preserve">Зачем: Идеи для совместных съёмок</t>
  </si>
  <si>
    <t xml:space="preserve">Давно хочу снять курс про утренние ритуалы — нет оператора и времени на монтаж.</t>
  </si>
  <si>
    <t xml:space="preserve">Какой опыт был с онлайн-школами и платформами? Что понравилось, что нет?</t>
  </si>
  <si>
    <t xml:space="preserve">Зачем: Ожидания и страхи</t>
  </si>
  <si>
    <t xml:space="preserve">Как вы относитесь к коротким форматам: практика на 7 минут, послание на 1 минуту?</t>
  </si>
  <si>
    <t xml:space="preserve">Зачем: Подходит ли формат Евы</t>
  </si>
  <si>
    <t xml:space="preserve">Короткие форматы люблю: люди реально их делают.</t>
  </si>
  <si>
    <t xml:space="preserve">Кто ваш идеальный клиент? Похож ли он на наших участниц — женщины 25–45?</t>
  </si>
  <si>
    <t xml:space="preserve">Зачем: Совпадение аудиторий</t>
  </si>
  <si>
    <t xml:space="preserve">Какие темы в вашем направлении сейчас спрашивают чаще всего?</t>
  </si>
  <si>
    <t xml:space="preserve">Зачем: Темы курсов с гарантированным спросом</t>
  </si>
  <si>
    <t xml:space="preserve">Сколько времени в месяц вы готовы отдавать Еве: съёмки, эфиры, ответы в сообществе?</t>
  </si>
  <si>
    <t xml:space="preserve">Зачем: Реальная загрузка</t>
  </si>
  <si>
    <t xml:space="preserve">Могу два съёмочных дня в месяц и эфир раз в две недели.</t>
  </si>
  <si>
    <t xml:space="preserve">Что для вас важно в сотрудничестве: деньги, аудитория, бренд, свобода?</t>
  </si>
  <si>
    <t xml:space="preserve">Зачем: На чём строить условия</t>
  </si>
  <si>
    <t xml:space="preserve">Важно, чтобы меня указывали как автора и была прозрачная отчётность по продажам.</t>
  </si>
  <si>
    <t xml:space="preserve">Готовы рассказать своей аудитории про Еву? Как бы вы это сделали?</t>
  </si>
  <si>
    <t xml:space="preserve">Зачем: Эксперт как канал привлечения</t>
  </si>
  <si>
    <t xml:space="preserve">Да, расскажу в канале и в сторис — у меня 12 тысяч подписчиц.</t>
  </si>
  <si>
    <t xml:space="preserve">Что должно быть в договоре, чтобы вам было спокойно?</t>
  </si>
  <si>
    <t xml:space="preserve">Зачем: Снять страхи заранее</t>
  </si>
  <si>
    <t xml:space="preserve">Кого из коллег вы бы нам порекомендовали?</t>
  </si>
  <si>
    <t xml:space="preserve">Зачем: Следующие эксперты</t>
  </si>
  <si>
    <t xml:space="preserve">Решение</t>
  </si>
  <si>
    <t xml:space="preserve">Подключаем · Думает · Не сейчас</t>
  </si>
  <si>
    <t xml:space="preserve">Подключаем</t>
  </si>
  <si>
    <t xml:space="preserve">О чём договорились</t>
  </si>
  <si>
    <t xml:space="preserve">💌 Послания · 🧘‍♀️ Практики · 🎓 Мастер-класс · 📚 Курс · 📡 Эфир · 🏠 Офлайн-встреча · 📦 Готовый курс · 📣 Расскажет аудитории</t>
  </si>
  <si>
    <t xml:space="preserve">🎓 Мастер-класс, 📚 Курс, 📣 Расскажет аудитории</t>
  </si>
  <si>
    <t xml:space="preserve">Следующий шаг</t>
  </si>
  <si>
    <t xml:space="preserve">Например: съёмка 3 практик</t>
  </si>
  <si>
    <t xml:space="preserve">Съёмка мастер-класса «Как перестать себя ругать»</t>
  </si>
  <si>
    <t xml:space="preserve">Когда</t>
  </si>
  <si>
    <t xml:space="preserve">Например: 10.10.2026</t>
  </si>
  <si>
    <t xml:space="preserve">Заметка</t>
  </si>
  <si>
    <t xml:space="preserve">Условия, договорённости, что важно помнить</t>
  </si>
  <si>
    <t xml:space="preserve">Доля 70/30 ок. Хочет курс из 6 уроков к декабрю.</t>
  </si>
  <si>
    <t xml:space="preserve">🤝 Партнёры</t>
  </si>
  <si>
    <t xml:space="preserve">Салоны, студии и бренды: взаимный промо и спецпредложения. Три шага, как в CRM: Анкета → Встреча → Итог. Обращаемся на «вы».</t>
  </si>
  <si>
    <t xml:space="preserve">Как называется ваша компания? 🏷</t>
  </si>
  <si>
    <t xml:space="preserve">Подсказка в поле: Студия «Баланс»</t>
  </si>
  <si>
    <t xml:space="preserve">Салон «Лаванда»</t>
  </si>
  <si>
    <t xml:space="preserve">Категория</t>
  </si>
  <si>
    <t xml:space="preserve">💅 Салон красоты</t>
  </si>
  <si>
    <t xml:space="preserve">Город 📍</t>
  </si>
  <si>
    <t xml:space="preserve">Адрес или «онлайн»</t>
  </si>
  <si>
    <t xml:space="preserve">Подсказка в поле: ул. Покровка, 17</t>
  </si>
  <si>
    <t xml:space="preserve">центр города</t>
  </si>
  <si>
    <t xml:space="preserve">Контактное лицо и должность 👤</t>
  </si>
  <si>
    <t xml:space="preserve">Подсказка в поле: Ирина, управляющая</t>
  </si>
  <si>
    <t xml:space="preserve">Ирина Громова, управляющая</t>
  </si>
  <si>
    <t xml:space="preserve">Сколько клиенток у вас в месяц?</t>
  </si>
  <si>
    <t xml:space="preserve">До 100 · 100–500 · 500–2 000 · Больше 2 000</t>
  </si>
  <si>
    <t xml:space="preserve">500–2 000</t>
  </si>
  <si>
    <t xml:space="preserve">Возраст ваших клиенток</t>
  </si>
  <si>
    <t xml:space="preserve">25–34, 35–44</t>
  </si>
  <si>
    <t xml:space="preserve">Что вам интересно? 🤝</t>
  </si>
  <si>
    <t xml:space="preserve">🔁 Взаимный промо · 🎁 Спецпредложение для участниц Евы · 💰 Комиссия за приведённых клиенток · 🏢 Корпоративная подписка для сотрудниц · 🎬 Площадка для съёмок или встреч · 🛍 Товары в маркете Евы · 🎉 Совместное мероприятие · ⭐ Спонсорство</t>
  </si>
  <si>
    <t xml:space="preserve">🔁 Взаимный промо, 🛍 Товары в маркете Евы</t>
  </si>
  <si>
    <t xml:space="preserve">Что можете дать участницам Евы? 🎁</t>
  </si>
  <si>
    <t xml:space="preserve">Скидку · Пробное занятие · Подарок · Бесплатную консультацию · Пока не знаю</t>
  </si>
  <si>
    <t xml:space="preserve">Пробное занятие, Скидку</t>
  </si>
  <si>
    <t xml:space="preserve">Где можете рассказать о Еве? 📣</t>
  </si>
  <si>
    <t xml:space="preserve">Соцсети · Рассылка клиентам · Администратор на ресепшене · Стойка или листовки · Мероприятия</t>
  </si>
  <si>
    <t xml:space="preserve">Рассылка клиентам, Стойка или листовки</t>
  </si>
  <si>
    <t xml:space="preserve">Аудитория в соцсетях 👥</t>
  </si>
  <si>
    <t xml:space="preserve">Пока нет · До 1 тыс. · 1–10 тыс. · Больше 10 тыс.</t>
  </si>
  <si>
    <t xml:space="preserve">До 1 тыс.</t>
  </si>
  <si>
    <t xml:space="preserve">Когда удобно встретиться?</t>
  </si>
  <si>
    <t xml:space="preserve">В будни утром · В будни днём · Вечером · Лучше в переписке</t>
  </si>
  <si>
    <t xml:space="preserve">В будни днём</t>
  </si>
  <si>
    <t xml:space="preserve">Telegram или телефон 📲</t>
  </si>
  <si>
    <t xml:space="preserve">@salon</t>
  </si>
  <si>
    <t xml:space="preserve">2. ВСТРЕЧА — открытые вопросы для Zoom, 20–30 минут. Записывайте коротко, своими словами</t>
  </si>
  <si>
    <t xml:space="preserve">Расскажите о ваших клиентках: кто они, с чем приходят, что их волнует помимо вашей услуги?</t>
  </si>
  <si>
    <t xml:space="preserve">Зачем: Совпадение с аудиторией Евы</t>
  </si>
  <si>
    <t xml:space="preserve">Как вы сейчас удерживаете клиенток между визитами?</t>
  </si>
  <si>
    <t xml:space="preserve">Зачем: Где Ева может помочь партнёру</t>
  </si>
  <si>
    <t xml:space="preserve">Какие партнёрства у вас уже были? Что сработало, а что нет?</t>
  </si>
  <si>
    <t xml:space="preserve">Зачем: Опыт и ожидания</t>
  </si>
  <si>
    <t xml:space="preserve">Что для вас выгодное партнёрство: деньги, новые клиентки, контент, имидж?</t>
  </si>
  <si>
    <t xml:space="preserve">Зачем: Формат сотрудничества</t>
  </si>
  <si>
    <t xml:space="preserve">Как вы обычно рассказываете клиенткам о партнёрах? Кто это делает?</t>
  </si>
  <si>
    <t xml:space="preserve">Зачем: Реальный канал рекомендации</t>
  </si>
  <si>
    <t xml:space="preserve">Какое спецпредложение вы готовы дать участницам Евы?</t>
  </si>
  <si>
    <t xml:space="preserve">Зачем: Оффер для витрины</t>
  </si>
  <si>
    <t xml:space="preserve">Нужны ли вам практики или мастер-класс от Евы для ваших клиенток?</t>
  </si>
  <si>
    <t xml:space="preserve">Зачем: Что даём мы</t>
  </si>
  <si>
    <t xml:space="preserve">Кто у вас принимает решение о партнёрстве и сколько это обычно занимает?</t>
  </si>
  <si>
    <t xml:space="preserve">Зачем: Скорость запуска</t>
  </si>
  <si>
    <t xml:space="preserve">Что может вас остановить?</t>
  </si>
  <si>
    <t xml:space="preserve">Зачем: Риски</t>
  </si>
  <si>
    <t xml:space="preserve">Как мы поймём через 3 месяца, что партнёрство удалось?</t>
  </si>
  <si>
    <t xml:space="preserve">Зачем: Общий критерий успеха</t>
  </si>
  <si>
    <t xml:space="preserve">🔁 Взаимный промо · 🎁 Спецпредложение · 💰 Комиссия · 🏢 Корпоративная подписка · 🎬 Площадка · 🛍 Маркет · 🎉 Мероприятие · ⭐ Спонсорство</t>
  </si>
  <si>
    <t xml:space="preserve">🎁 Спецпредложение, 🔁 Взаимный промо</t>
  </si>
  <si>
    <t xml:space="preserve">Например: прислать макет стойки</t>
  </si>
  <si>
    <t xml:space="preserve">Стойка с QR на ресепшене</t>
  </si>
  <si>
    <t xml:space="preserve">−15% на уход участницам Евы по промокоду EVA15.</t>
  </si>
  <si>
    <t xml:space="preserve">📣 Амбассадоры</t>
  </si>
  <si>
    <t xml:space="preserve">Те, кто рассказывает о Еве и приводит подруг. Три шага, как в CRM: Анкета → Созвон → Итог. Обращаемся на «ты».</t>
  </si>
  <si>
    <t xml:space="preserve">Как тебя зовут? 💜</t>
  </si>
  <si>
    <t xml:space="preserve">Юлия Ким</t>
  </si>
  <si>
    <t xml:space="preserve">Твой город 📍</t>
  </si>
  <si>
    <t xml:space="preserve">Подсказка в поле: Казань</t>
  </si>
  <si>
    <t xml:space="preserve">Сочи</t>
  </si>
  <si>
    <t xml:space="preserve">Ты пользуешься Евой?</t>
  </si>
  <si>
    <t xml:space="preserve">💜 Да, давно · 🌱 Недавно начала · 👀 Ещё нет</t>
  </si>
  <si>
    <t xml:space="preserve">💜 Да, давно</t>
  </si>
  <si>
    <t xml:space="preserve">Где твоя аудитория? 📱</t>
  </si>
  <si>
    <t xml:space="preserve">Telegram · ВКонтакте · YouTube · Instagram* · TikTok · Дзен · Мамские и женские чаты · Офлайн-сообщество · Коллеги и друзья</t>
  </si>
  <si>
    <t xml:space="preserve">YouTube, ВКонтакте, Офлайн-сообщество</t>
  </si>
  <si>
    <t xml:space="preserve">Сколько людей тебя читает? 👥</t>
  </si>
  <si>
    <t xml:space="preserve">До 500 · 500–3 000 · 3–10 тыс. · 10–50 тыс. · Больше 50 тыс.</t>
  </si>
  <si>
    <t xml:space="preserve">10–50 тыс.</t>
  </si>
  <si>
    <t xml:space="preserve">О чём твой блог или сообщество?</t>
  </si>
  <si>
    <t xml:space="preserve">👶 Материнство · 💄 Красота · 🏃‍♀️ Спорт · 🧠 Психология · 💼 Бизнес · 🌿 Лайфстайл · ✈️ Путешествия · 📚 Образование</t>
  </si>
  <si>
    <t xml:space="preserve">💄 Красота, 👶 Материнство</t>
  </si>
  <si>
    <t xml:space="preserve">Кто тебя читает?</t>
  </si>
  <si>
    <t xml:space="preserve">В основном женщины · Примерно поровну · В основном мужчины</t>
  </si>
  <si>
    <t xml:space="preserve">В основном женщины</t>
  </si>
  <si>
    <t xml:space="preserve">Как хочешь рассказывать о Еве? 📣</t>
  </si>
  <si>
    <t xml:space="preserve">📸 Посты и сторис · 💬 Личные рекомендации · 👭 В чатах · 📡 Эфиры · 🏠 Офлайн-встречи · ⭐ Отзывы</t>
  </si>
  <si>
    <t xml:space="preserve">📸 Посты и сторис, ⭐ Отзывы, 🏠 Офлайн-встречи</t>
  </si>
  <si>
    <t xml:space="preserve">Сколько времени в неделю готова уделять?</t>
  </si>
  <si>
    <t xml:space="preserve">1 час · 2–4 часа · Больше 4 часов</t>
  </si>
  <si>
    <t xml:space="preserve">1 час</t>
  </si>
  <si>
    <t xml:space="preserve">Что для тебя главное? ✨</t>
  </si>
  <si>
    <t xml:space="preserve">💰 Деньги · 💜 Бесплатная подписка · 🏆 Статус и признание · 👭 Сообщество · 🎓 Рост и обучение</t>
  </si>
  <si>
    <t xml:space="preserve">💜 Бесплатная подписка, 💰 Деньги</t>
  </si>
  <si>
    <t xml:space="preserve">Твой статус — это нужно для выплат 🧾</t>
  </si>
  <si>
    <t xml:space="preserve">Самозанятая · ИП · Пока нет</t>
  </si>
  <si>
    <t xml:space="preserve">Пока нет</t>
  </si>
  <si>
    <t xml:space="preserve">Как удобнее получать вознаграждение?</t>
  </si>
  <si>
    <t xml:space="preserve">💳 На карту · 💜 На баланс Евы (+10%)</t>
  </si>
  <si>
    <t xml:space="preserve">💜 На баланс Евы (+10%)</t>
  </si>
  <si>
    <t xml:space="preserve">Был опыт партнёрских программ?</t>
  </si>
  <si>
    <t xml:space="preserve">Да · Нет</t>
  </si>
  <si>
    <t xml:space="preserve">Нет</t>
  </si>
  <si>
    <t xml:space="preserve">Твой Telegram или телефон 📲</t>
  </si>
  <si>
    <t xml:space="preserve">@yuliya</t>
  </si>
  <si>
    <t xml:space="preserve">Почему тебе откликается Ева? Что лично тебе она дала или могла бы дать?</t>
  </si>
  <si>
    <t xml:space="preserve">Зачем: Искренняя мотивация — основа рекомендаций</t>
  </si>
  <si>
    <t xml:space="preserve">Кто твоя аудитория и что у неё сейчас болит?</t>
  </si>
  <si>
    <t xml:space="preserve">Зачем: Какой оффер ей зайдёт</t>
  </si>
  <si>
    <t xml:space="preserve">Как ты обычно рекомендуешь продукты? Что никогда не стала бы рекламировать?</t>
  </si>
  <si>
    <t xml:space="preserve">Зачем: Формат и границы</t>
  </si>
  <si>
    <t xml:space="preserve">Какие материалы тебе нужны: тексты, видео, промокоды, эфир с экспертом?</t>
  </si>
  <si>
    <t xml:space="preserve">Зачем: Набор амбассадора</t>
  </si>
  <si>
    <t xml:space="preserve">Что тебя мотивирует больше: деньги, подписка, статус, сообщество?</t>
  </si>
  <si>
    <t xml:space="preserve">Зачем: Как вознаграждать</t>
  </si>
  <si>
    <t xml:space="preserve">Какой опыт партнёрских программ у тебя был? Что раздражало?</t>
  </si>
  <si>
    <t xml:space="preserve">Зачем: Чего не повторять</t>
  </si>
  <si>
    <t xml:space="preserve">Сколько человек ты можешь привести за месяц — честно?</t>
  </si>
  <si>
    <t xml:space="preserve">Зачем: Реальный прогноз</t>
  </si>
  <si>
    <t xml:space="preserve">Как тебе удобнее отчитываться и получать выплаты?</t>
  </si>
  <si>
    <t xml:space="preserve">Зачем: Простая механика выплат</t>
  </si>
  <si>
    <t xml:space="preserve">Что может тебя разочаровать в сотрудничестве с нами?</t>
  </si>
  <si>
    <t xml:space="preserve">Кого ещё ты бы позвала в амбассадоры?</t>
  </si>
  <si>
    <t xml:space="preserve">Зачем: Следующие амбассадоры</t>
  </si>
  <si>
    <t xml:space="preserve">🔗 Ссылка выдана · 📦 Материалы отправлены · 💜 Подписка в подарок · 🧾 Оформляет самозанятость · 📡 Эфир с экспертом · 👭 Позовёт подруг-амбассадоров</t>
  </si>
  <si>
    <t xml:space="preserve">🔗 Ссылка выдана, 📦 Материалы отправлены, 💜 Подписка в подарок</t>
  </si>
  <si>
    <t xml:space="preserve">Например: выдать материалы</t>
  </si>
  <si>
    <t xml:space="preserve">Первый пост в канале</t>
  </si>
  <si>
    <t xml:space="preserve">до 25</t>
  </si>
  <si>
    <t xml:space="preserve">🤰 Беременность</t>
  </si>
  <si>
    <t xml:space="preserve">Ничего</t>
  </si>
  <si>
    <t xml:space="preserve">До 500 ₽</t>
  </si>
  <si>
    <t xml:space="preserve">📅 Да, в будни днём</t>
  </si>
  <si>
    <t xml:space="preserve">до года</t>
  </si>
  <si>
    <t xml:space="preserve">1 день</t>
  </si>
  <si>
    <t xml:space="preserve">До 3 000 ₽</t>
  </si>
  <si>
    <t xml:space="preserve">До 100</t>
  </si>
  <si>
    <t xml:space="preserve">В будни утром</t>
  </si>
  <si>
    <t xml:space="preserve">До 500</t>
  </si>
  <si>
    <t xml:space="preserve">Самозанятая</t>
  </si>
  <si>
    <t xml:space="preserve">💳 На карту</t>
  </si>
  <si>
    <t xml:space="preserve">Да</t>
  </si>
  <si>
    <t xml:space="preserve">25–34</t>
  </si>
  <si>
    <t xml:space="preserve">15–20 минут</t>
  </si>
  <si>
    <t xml:space="preserve">☀️ Днём</t>
  </si>
  <si>
    <t xml:space="preserve">До 1 000 ₽</t>
  </si>
  <si>
    <t xml:space="preserve">500–1 500 ₽</t>
  </si>
  <si>
    <t xml:space="preserve">ВКонтакте</t>
  </si>
  <si>
    <t xml:space="preserve">🌆 Да, в будни вечером</t>
  </si>
  <si>
    <t xml:space="preserve">Готова помогать ещё</t>
  </si>
  <si>
    <t xml:space="preserve">1–3 года</t>
  </si>
  <si>
    <t xml:space="preserve">Сертификаты и курсы</t>
  </si>
  <si>
    <t xml:space="preserve">🤔 Возможно, обсудим</t>
  </si>
  <si>
    <t xml:space="preserve">🎥 Есть своя качественная съёмка</t>
  </si>
  <si>
    <t xml:space="preserve">2–3 дня</t>
  </si>
  <si>
    <t xml:space="preserve">3 000–6 000 ₽</t>
  </si>
  <si>
    <t xml:space="preserve">Думает</t>
  </si>
  <si>
    <t xml:space="preserve">🤸‍♀️ Студия пилатеса</t>
  </si>
  <si>
    <t xml:space="preserve">100–500</t>
  </si>
  <si>
    <t xml:space="preserve">🌱 Недавно начала</t>
  </si>
  <si>
    <t xml:space="preserve">500–3 000</t>
  </si>
  <si>
    <t xml:space="preserve">Примерно поровну</t>
  </si>
  <si>
    <t xml:space="preserve">2–4 часа</t>
  </si>
  <si>
    <t xml:space="preserve">ИП</t>
  </si>
  <si>
    <t xml:space="preserve">Город-миллионник</t>
  </si>
  <si>
    <t xml:space="preserve">🎒 Мама школьника</t>
  </si>
  <si>
    <t xml:space="preserve">30 минут и больше</t>
  </si>
  <si>
    <t xml:space="preserve">🌆 Вечером</t>
  </si>
  <si>
    <t xml:space="preserve">Блогер</t>
  </si>
  <si>
    <t xml:space="preserve">Большая практика без документов</t>
  </si>
  <si>
    <t xml:space="preserve">📦 Есть готовый — хочу разместить</t>
  </si>
  <si>
    <t xml:space="preserve">💻 Только онлайн</t>
  </si>
  <si>
    <t xml:space="preserve">6 000–10 000 ₽</t>
  </si>
  <si>
    <t xml:space="preserve">Не сейчас</t>
  </si>
  <si>
    <t xml:space="preserve">🧘‍♀️ Йога-студия</t>
  </si>
  <si>
    <t xml:space="preserve">Вечером</t>
  </si>
  <si>
    <t xml:space="preserve">👀 Ещё нет</t>
  </si>
  <si>
    <t xml:space="preserve">3–10 тыс.</t>
  </si>
  <si>
    <t xml:space="preserve">В основном мужчины</t>
  </si>
  <si>
    <t xml:space="preserve">Больше 4 часов</t>
  </si>
  <si>
    <t xml:space="preserve">45+</t>
  </si>
  <si>
    <t xml:space="preserve">Небольшой город</t>
  </si>
  <si>
    <t xml:space="preserve">💼 Карьера</t>
  </si>
  <si>
    <t xml:space="preserve">🌙 Перед сном</t>
  </si>
  <si>
    <t xml:space="preserve">3 000–7 000 ₽</t>
  </si>
  <si>
    <t xml:space="preserve">Больше 3 000 ₽</t>
  </si>
  <si>
    <t xml:space="preserve">Подруга</t>
  </si>
  <si>
    <t xml:space="preserve">💬 Лучше перепишемся</t>
  </si>
  <si>
    <t xml:space="preserve">5–10 лет</t>
  </si>
  <si>
    <t xml:space="preserve">🙅‍♀️ Пока нет</t>
  </si>
  <si>
    <t xml:space="preserve">🤝 Обсудим</t>
  </si>
  <si>
    <t xml:space="preserve">🏋️‍♀️ Фитнес-клуб</t>
  </si>
  <si>
    <t xml:space="preserve">Больше 2 000</t>
  </si>
  <si>
    <t xml:space="preserve">Больше 10 тыс.</t>
  </si>
  <si>
    <t xml:space="preserve">Лучше в переписке</t>
  </si>
  <si>
    <t xml:space="preserve">Не в России</t>
  </si>
  <si>
    <t xml:space="preserve">🚀 Своё дело</t>
  </si>
  <si>
    <t xml:space="preserve">Больше 7 000 ₽</t>
  </si>
  <si>
    <t xml:space="preserve">Эксперт</t>
  </si>
  <si>
    <t xml:space="preserve">🙅‍♀️ Нет, спасибо</t>
  </si>
  <si>
    <t xml:space="preserve">больше 10 лет</t>
  </si>
  <si>
    <t xml:space="preserve">Больше 50 тыс.</t>
  </si>
  <si>
    <t xml:space="preserve">Не консультирую</t>
  </si>
  <si>
    <t xml:space="preserve">✨ Косметология</t>
  </si>
  <si>
    <t xml:space="preserve">🧭 Ищу своё направление</t>
  </si>
  <si>
    <t xml:space="preserve">Студия или салон</t>
  </si>
  <si>
    <t xml:space="preserve">💆‍♀️ SPA и массаж</t>
  </si>
  <si>
    <t xml:space="preserve">🌷 Просто хочу для себя</t>
  </si>
  <si>
    <t xml:space="preserve">Мероприятие</t>
  </si>
  <si>
    <t xml:space="preserve">🥗 Здоровое питание</t>
  </si>
  <si>
    <t xml:space="preserve">Другое</t>
  </si>
  <si>
    <t xml:space="preserve">🧠 Психологический центр</t>
  </si>
  <si>
    <t xml:space="preserve">🏥 Женское здоровье</t>
  </si>
  <si>
    <t xml:space="preserve">👶 Центр для мам и детей</t>
  </si>
  <si>
    <t xml:space="preserve">🏠 Пространство для встреч</t>
  </si>
  <si>
    <t xml:space="preserve">🛍 Бренд для маркета</t>
  </si>
  <si>
    <t xml:space="preserve">🎤 Организатор мероприятий</t>
  </si>
  <si>
    <t xml:space="preserve">⭐ Спонсор</t>
  </si>
  <si>
    <t xml:space="preserve">📱 Медиа и блогеры</t>
  </si>
  <si>
    <t xml:space="preserve">📚 Образование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</si>
</sst>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.mm\.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D1828"/>
      <name val="Arial"/>
      <family val="0"/>
      <charset val="1"/>
    </font>
    <font>
      <b val="true"/>
      <sz val="10"/>
      <color rgb="FF3B2150"/>
      <name val="Arial"/>
      <family val="0"/>
      <charset val="1"/>
    </font>
    <font>
      <sz val="10"/>
      <color rgb="FF16141C"/>
      <name val="Arial"/>
      <family val="0"/>
      <charset val="1"/>
    </font>
    <font>
      <b val="true"/>
      <sz val="12"/>
      <color rgb="FF1D182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5A5766"/>
      <name val="Arial"/>
      <family val="0"/>
      <charset val="1"/>
    </font>
    <font>
      <b val="true"/>
      <sz val="11"/>
      <color rgb="FF3B2150"/>
      <name val="Arial"/>
      <family val="0"/>
      <charset val="1"/>
    </font>
    <font>
      <b val="true"/>
      <sz val="10"/>
      <color rgb="FF4F46B8"/>
      <name val="Arial"/>
      <family val="0"/>
      <charset val="1"/>
    </font>
    <font>
      <sz val="9"/>
      <color rgb="FF5A5766"/>
      <name val="Arial"/>
      <family val="0"/>
      <charset val="1"/>
    </font>
    <font>
      <i val="true"/>
      <sz val="9"/>
      <color rgb="FF8A8796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3B2150"/>
        <bgColor rgb="FF1D1828"/>
      </patternFill>
    </fill>
    <fill>
      <patternFill patternType="solid">
        <fgColor rgb="FFECE6F5"/>
        <bgColor rgb="FFF4F3F6"/>
      </patternFill>
    </fill>
    <fill>
      <patternFill patternType="solid">
        <fgColor rgb="FFF4F3F6"/>
        <bgColor rgb="FFECE6F5"/>
      </patternFill>
    </fill>
    <fill>
      <patternFill patternType="solid">
        <fgColor rgb="FFFFF6CC"/>
        <bgColor rgb="FFF4F3F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AE3"/>
      </left>
      <right style="thin">
        <color rgb="FFDDDAE3"/>
      </right>
      <top style="thin">
        <color rgb="FFDDDAE3"/>
      </top>
      <bottom style="thin">
        <color rgb="FFDDDA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3734F"/>
      <rgbColor rgb="FFC0C0C0"/>
      <rgbColor rgb="FF8A8796"/>
      <rgbColor rgb="FF9999FF"/>
      <rgbColor rgb="FF993366"/>
      <rgbColor rgb="FFFFF6CC"/>
      <rgbColor rgb="FFF4F3F6"/>
      <rgbColor rgb="FF660066"/>
      <rgbColor rgb="FFFF8080"/>
      <rgbColor rgb="FF0066CC"/>
      <rgbColor rgb="FFDDDA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CE6F5"/>
      <rgbColor rgb="FFCCFFCC"/>
      <rgbColor rgb="FFFFFF99"/>
      <rgbColor rgb="FF99CCFF"/>
      <rgbColor rgb="FFE4A0B8"/>
      <rgbColor rgb="FFCC99FF"/>
      <rgbColor rgb="FFE7C58B"/>
      <rgbColor rgb="FF3366FF"/>
      <rgbColor rgb="FF33CCCC"/>
      <rgbColor rgb="FF99CC00"/>
      <rgbColor rgb="FFFFCC00"/>
      <rgbColor rgb="FFFF9900"/>
      <rgbColor rgb="FFFF6600"/>
      <rgbColor rgb="FF5A5766"/>
      <rgbColor rgb="FF969696"/>
      <rgbColor rgb="FF003366"/>
      <rgbColor rgb="FF339966"/>
      <rgbColor rgb="FF16141C"/>
      <rgbColor rgb="FF1D1828"/>
      <rgbColor rgb="FF993300"/>
      <rgbColor rgb="FF993366"/>
      <rgbColor rgb="FF4F46B8"/>
      <rgbColor rgb="FF3B21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2150"/>
    <pageSetUpPr fitToPage="false"/>
  </sheetPr>
  <dimension ref="A1:E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22"/>
  </cols>
  <sheetData>
    <row r="1" customFormat="false" ht="18.55" hidden="false" customHeight="false" outlineLevel="0" collapsed="false">
      <c r="A1" s="1" t="s">
        <v>0</v>
      </c>
    </row>
    <row r="3" customFormat="false" ht="33.75" hidden="false" customHeight="true" outlineLevel="0" collapsed="false">
      <c r="A3" s="2" t="s">
        <v>1</v>
      </c>
      <c r="B3" s="3" t="s">
        <v>2</v>
      </c>
      <c r="C3" s="3"/>
      <c r="D3" s="3"/>
      <c r="E3" s="3"/>
    </row>
    <row r="4" customFormat="false" ht="33.75" hidden="false" customHeight="true" outlineLevel="0" collapsed="false">
      <c r="A4" s="2" t="s">
        <v>3</v>
      </c>
      <c r="B4" s="3" t="s">
        <v>4</v>
      </c>
      <c r="C4" s="3"/>
      <c r="D4" s="3"/>
      <c r="E4" s="3"/>
    </row>
    <row r="5" customFormat="false" ht="33.75" hidden="false" customHeight="true" outlineLevel="0" collapsed="false">
      <c r="A5" s="2" t="s">
        <v>5</v>
      </c>
      <c r="B5" s="3" t="s">
        <v>6</v>
      </c>
      <c r="C5" s="3"/>
      <c r="D5" s="3"/>
      <c r="E5" s="3"/>
    </row>
    <row r="6" customFormat="false" ht="33.75" hidden="false" customHeight="true" outlineLevel="0" collapsed="false">
      <c r="A6" s="2" t="s">
        <v>7</v>
      </c>
      <c r="B6" s="3" t="s">
        <v>8</v>
      </c>
      <c r="C6" s="3"/>
      <c r="D6" s="3"/>
      <c r="E6" s="3"/>
    </row>
    <row r="7" customFormat="false" ht="33.75" hidden="false" customHeight="true" outlineLevel="0" collapsed="false">
      <c r="A7" s="2" t="s">
        <v>9</v>
      </c>
      <c r="B7" s="3" t="s">
        <v>10</v>
      </c>
      <c r="C7" s="3"/>
      <c r="D7" s="3"/>
      <c r="E7" s="3"/>
    </row>
    <row r="8" customFormat="false" ht="19.5" hidden="false" customHeight="true" outlineLevel="0" collapsed="false">
      <c r="A8" s="2" t="s">
        <v>11</v>
      </c>
      <c r="B8" s="3" t="s">
        <v>12</v>
      </c>
      <c r="C8" s="3"/>
      <c r="D8" s="3"/>
      <c r="E8" s="3"/>
    </row>
    <row r="9" customFormat="false" ht="33.75" hidden="false" customHeight="true" outlineLevel="0" collapsed="false">
      <c r="A9" s="2" t="s">
        <v>13</v>
      </c>
      <c r="B9" s="3" t="s">
        <v>14</v>
      </c>
      <c r="C9" s="3"/>
      <c r="D9" s="3"/>
      <c r="E9" s="3"/>
    </row>
    <row r="11" customFormat="false" ht="15" hidden="false" customHeight="false" outlineLevel="0" collapsed="false">
      <c r="A11" s="4" t="s">
        <v>15</v>
      </c>
    </row>
    <row r="12" customFormat="false" ht="30" hidden="false" customHeight="true" outlineLevel="0" collapsed="false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20</v>
      </c>
    </row>
    <row r="13" customFormat="false" ht="15" hidden="false" customHeight="false" outlineLevel="0" collapsed="false">
      <c r="A13" s="6" t="s">
        <v>21</v>
      </c>
      <c r="B13" s="7" t="n">
        <f aca="false">COUNTA('Клиентки (кастдев)'!B6:B21)</f>
        <v>16</v>
      </c>
      <c r="C13" s="7" t="n">
        <f aca="false">COUNTA('Клиентки (кастдев)'!B25:B39)</f>
        <v>15</v>
      </c>
      <c r="D13" s="7" t="n">
        <f aca="false">COUNTA('Клиентки (кастдев)'!G6:U6)</f>
        <v>0</v>
      </c>
      <c r="E13" s="7" t="n">
        <f aca="false">COUNTA('Клиентки (кастдев)'!G23:U23)</f>
        <v>0</v>
      </c>
    </row>
    <row r="14" customFormat="false" ht="15" hidden="false" customHeight="false" outlineLevel="0" collapsed="false">
      <c r="A14" s="6" t="s">
        <v>22</v>
      </c>
      <c r="B14" s="7" t="n">
        <f aca="false">COUNTA(Эксперты!B6:B22)</f>
        <v>17</v>
      </c>
      <c r="C14" s="7" t="n">
        <f aca="false">COUNTA(Эксперты!B26:B38)</f>
        <v>13</v>
      </c>
      <c r="D14" s="7" t="n">
        <f aca="false">COUNTA(Эксперты!G6:P6)</f>
        <v>0</v>
      </c>
      <c r="E14" s="7" t="n">
        <f aca="false">COUNTA(Эксперты!G24:P24)</f>
        <v>0</v>
      </c>
    </row>
    <row r="15" customFormat="false" ht="15" hidden="false" customHeight="false" outlineLevel="0" collapsed="false">
      <c r="A15" s="6" t="s">
        <v>23</v>
      </c>
      <c r="B15" s="7" t="n">
        <f aca="false">COUNTA(Партнёры!B6:B18)</f>
        <v>13</v>
      </c>
      <c r="C15" s="7" t="n">
        <f aca="false">COUNTA(Партнёры!B22:B31)</f>
        <v>10</v>
      </c>
      <c r="D15" s="7" t="n">
        <f aca="false">COUNTA(Партнёры!G6:P6)</f>
        <v>0</v>
      </c>
      <c r="E15" s="7" t="n">
        <f aca="false">COUNTA(Партнёры!G20:P20)</f>
        <v>0</v>
      </c>
    </row>
    <row r="16" customFormat="false" ht="15" hidden="false" customHeight="false" outlineLevel="0" collapsed="false">
      <c r="A16" s="6" t="s">
        <v>24</v>
      </c>
      <c r="B16" s="7" t="n">
        <f aca="false">COUNTA(Амбассадоры!B6:B19)</f>
        <v>14</v>
      </c>
      <c r="C16" s="7" t="n">
        <f aca="false">COUNTA(Амбассадоры!B23:B32)</f>
        <v>10</v>
      </c>
      <c r="D16" s="7" t="n">
        <f aca="false">COUNTA(Амбассадоры!G6:P6)</f>
        <v>0</v>
      </c>
      <c r="E16" s="7" t="n">
        <f aca="false">COUNTA(Амбассадоры!G21:P21)</f>
        <v>0</v>
      </c>
    </row>
    <row r="17" customFormat="false" ht="15" hidden="false" customHeight="false" outlineLevel="0" collapsed="false">
      <c r="A17" s="8" t="s">
        <v>25</v>
      </c>
      <c r="B17" s="9" t="n">
        <f aca="false">SUM(B13:B16)</f>
        <v>60</v>
      </c>
      <c r="C17" s="9" t="n">
        <f aca="false">SUM(C13:C16)</f>
        <v>48</v>
      </c>
      <c r="D17" s="9" t="n">
        <f aca="false">SUM(D13:D16)</f>
        <v>0</v>
      </c>
      <c r="E17" s="9" t="n">
        <f aca="false">SUM(E13:E16)</f>
        <v>0</v>
      </c>
    </row>
    <row r="19" customFormat="false" ht="45.75" hidden="false" customHeight="true" outlineLevel="0" collapsed="false">
      <c r="A19" s="2" t="s">
        <v>26</v>
      </c>
      <c r="B19" s="3" t="s">
        <v>27</v>
      </c>
      <c r="C19" s="3"/>
      <c r="D19" s="3"/>
      <c r="E19" s="3"/>
    </row>
    <row r="20" customFormat="false" ht="60" hidden="false" customHeight="true" outlineLevel="0" collapsed="false">
      <c r="A20" s="2" t="s">
        <v>28</v>
      </c>
      <c r="B20" s="3" t="s">
        <v>29</v>
      </c>
      <c r="C20" s="3"/>
      <c r="D20" s="3"/>
      <c r="E20" s="3"/>
    </row>
  </sheetData>
  <mergeCells count="9">
    <mergeCell ref="B3:E3"/>
    <mergeCell ref="B4:E4"/>
    <mergeCell ref="B5:E5"/>
    <mergeCell ref="B6:E6"/>
    <mergeCell ref="B7:E7"/>
    <mergeCell ref="B8:E8"/>
    <mergeCell ref="B9:E9"/>
    <mergeCell ref="B19:E19"/>
    <mergeCell ref="B20:E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4A0B8"/>
    <pageSetUpPr fitToPage="false"/>
  </sheetPr>
  <dimension ref="A1:U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17"/>
    <col collapsed="false" customWidth="true" hidden="false" outlineLevel="0" max="4" min="4" style="0" width="42"/>
    <col collapsed="false" customWidth="true" hidden="false" outlineLevel="0" max="5" min="5" style="0" width="10"/>
    <col collapsed="false" customWidth="true" hidden="false" outlineLevel="0" max="21" min="6" style="0" width="30"/>
  </cols>
  <sheetData>
    <row r="1" customFormat="false" ht="25.5" hidden="false" customHeight="true" outlineLevel="0" collapsed="false">
      <c r="A1" s="10" t="s">
        <v>30</v>
      </c>
      <c r="B1" s="10"/>
    </row>
    <row r="2" customFormat="false" ht="43.5" hidden="false" customHeight="true" outlineLevel="0" collapsed="false">
      <c r="A2" s="11" t="s">
        <v>31</v>
      </c>
      <c r="B2" s="11"/>
    </row>
    <row r="3" customFormat="false" ht="31.5" hidden="false" customHeight="true" outlineLevel="0" collapsed="false">
      <c r="A3" s="11" t="s">
        <v>32</v>
      </c>
      <c r="B3" s="11"/>
    </row>
    <row r="4" customFormat="false" ht="30" hidden="false" customHeight="true" outlineLevel="0" collapsed="false">
      <c r="A4" s="5" t="s">
        <v>33</v>
      </c>
      <c r="B4" s="5" t="s">
        <v>34</v>
      </c>
      <c r="C4" s="5" t="s">
        <v>35</v>
      </c>
      <c r="D4" s="5" t="s">
        <v>36</v>
      </c>
      <c r="E4" s="5" t="s">
        <v>11</v>
      </c>
      <c r="F4" s="5" t="s">
        <v>9</v>
      </c>
      <c r="G4" s="5" t="str">
        <f aca="false">IF(G$6="","Человек 1",G$6)</f>
        <v>Человек 1</v>
      </c>
      <c r="H4" s="5" t="str">
        <f aca="false">IF(H$6="","Человек 2",H$6)</f>
        <v>Человек 2</v>
      </c>
      <c r="I4" s="5" t="str">
        <f aca="false">IF(I$6="","Человек 3",I$6)</f>
        <v>Человек 3</v>
      </c>
      <c r="J4" s="5" t="str">
        <f aca="false">IF(J$6="","Человек 4",J$6)</f>
        <v>Человек 4</v>
      </c>
      <c r="K4" s="5" t="str">
        <f aca="false">IF(K$6="","Человек 5",K$6)</f>
        <v>Человек 5</v>
      </c>
      <c r="L4" s="5" t="str">
        <f aca="false">IF(L$6="","Человек 6",L$6)</f>
        <v>Человек 6</v>
      </c>
      <c r="M4" s="5" t="str">
        <f aca="false">IF(M$6="","Человек 7",M$6)</f>
        <v>Человек 7</v>
      </c>
      <c r="N4" s="5" t="str">
        <f aca="false">IF(N$6="","Человек 8",N$6)</f>
        <v>Человек 8</v>
      </c>
      <c r="O4" s="5" t="str">
        <f aca="false">IF(O$6="","Человек 9",O$6)</f>
        <v>Человек 9</v>
      </c>
      <c r="P4" s="5" t="str">
        <f aca="false">IF(P$6="","Человек 10",P$6)</f>
        <v>Человек 10</v>
      </c>
      <c r="Q4" s="5" t="str">
        <f aca="false">IF(Q$6="","Человек 11",Q$6)</f>
        <v>Человек 11</v>
      </c>
      <c r="R4" s="5" t="str">
        <f aca="false">IF(R$6="","Человек 12",R$6)</f>
        <v>Человек 12</v>
      </c>
      <c r="S4" s="5" t="str">
        <f aca="false">IF(S$6="","Человек 13",S$6)</f>
        <v>Человек 13</v>
      </c>
      <c r="T4" s="5" t="str">
        <f aca="false">IF(T$6="","Человек 14",T$6)</f>
        <v>Человек 14</v>
      </c>
      <c r="U4" s="5" t="str">
        <f aca="false">IF(U$6="","Человек 15",U$6)</f>
        <v>Человек 15</v>
      </c>
    </row>
    <row r="5" customFormat="false" ht="24" hidden="false" customHeight="true" outlineLevel="0" collapsed="false">
      <c r="A5" s="12"/>
      <c r="B5" s="13" t="s">
        <v>37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</row>
    <row r="6" customFormat="false" ht="19.5" hidden="false" customHeight="true" outlineLevel="0" collapsed="false">
      <c r="A6" s="14" t="n">
        <v>1</v>
      </c>
      <c r="B6" s="15" t="s">
        <v>38</v>
      </c>
      <c r="C6" s="16" t="s">
        <v>39</v>
      </c>
      <c r="D6" s="16" t="s">
        <v>40</v>
      </c>
      <c r="E6" s="17" t="n">
        <f aca="false">COUNTA(G6:U6)</f>
        <v>0</v>
      </c>
      <c r="F6" s="18" t="s">
        <v>41</v>
      </c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</row>
    <row r="7" customFormat="false" ht="19.5" hidden="false" customHeight="true" outlineLevel="0" collapsed="false">
      <c r="A7" s="14" t="n">
        <v>2</v>
      </c>
      <c r="B7" s="15" t="s">
        <v>42</v>
      </c>
      <c r="C7" s="16" t="s">
        <v>43</v>
      </c>
      <c r="D7" s="16" t="s">
        <v>44</v>
      </c>
      <c r="E7" s="17" t="n">
        <f aca="false">COUNTA(G7:U7)</f>
        <v>0</v>
      </c>
      <c r="F7" s="18" t="s">
        <v>45</v>
      </c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</row>
    <row r="8" customFormat="false" ht="31.5" hidden="false" customHeight="true" outlineLevel="0" collapsed="false">
      <c r="A8" s="14" t="n">
        <v>3</v>
      </c>
      <c r="B8" s="15" t="s">
        <v>46</v>
      </c>
      <c r="C8" s="16" t="s">
        <v>43</v>
      </c>
      <c r="D8" s="16" t="s">
        <v>47</v>
      </c>
      <c r="E8" s="17" t="n">
        <f aca="false">COUNTA(G8:U8)</f>
        <v>0</v>
      </c>
      <c r="F8" s="18" t="s">
        <v>48</v>
      </c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</row>
    <row r="9" customFormat="false" ht="45" hidden="false" customHeight="true" outlineLevel="0" collapsed="false">
      <c r="A9" s="14" t="n">
        <v>4</v>
      </c>
      <c r="B9" s="15" t="s">
        <v>49</v>
      </c>
      <c r="C9" s="16" t="s">
        <v>43</v>
      </c>
      <c r="D9" s="16" t="s">
        <v>50</v>
      </c>
      <c r="E9" s="17" t="n">
        <f aca="false">COUNTA(G9:U9)</f>
        <v>0</v>
      </c>
      <c r="F9" s="18" t="s">
        <v>51</v>
      </c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</row>
    <row r="10" customFormat="false" ht="45" hidden="false" customHeight="true" outlineLevel="0" collapsed="false">
      <c r="A10" s="14" t="n">
        <v>5</v>
      </c>
      <c r="B10" s="15" t="s">
        <v>52</v>
      </c>
      <c r="C10" s="16" t="s">
        <v>53</v>
      </c>
      <c r="D10" s="16" t="s">
        <v>54</v>
      </c>
      <c r="E10" s="17" t="n">
        <f aca="false">COUNTA(G10:U10)</f>
        <v>0</v>
      </c>
      <c r="F10" s="18" t="s">
        <v>55</v>
      </c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</row>
    <row r="11" customFormat="false" ht="45" hidden="false" customHeight="true" outlineLevel="0" collapsed="false">
      <c r="A11" s="14" t="n">
        <v>6</v>
      </c>
      <c r="B11" s="15" t="s">
        <v>56</v>
      </c>
      <c r="C11" s="16" t="s">
        <v>53</v>
      </c>
      <c r="D11" s="16" t="s">
        <v>57</v>
      </c>
      <c r="E11" s="17" t="n">
        <f aca="false">COUNTA(G11:U11)</f>
        <v>0</v>
      </c>
      <c r="F11" s="18" t="s">
        <v>58</v>
      </c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</row>
    <row r="12" customFormat="false" ht="31.5" hidden="false" customHeight="true" outlineLevel="0" collapsed="false">
      <c r="A12" s="14" t="n">
        <v>7</v>
      </c>
      <c r="B12" s="15" t="s">
        <v>59</v>
      </c>
      <c r="C12" s="16" t="s">
        <v>43</v>
      </c>
      <c r="D12" s="16" t="s">
        <v>60</v>
      </c>
      <c r="E12" s="17" t="n">
        <f aca="false">COUNTA(G12:U12)</f>
        <v>0</v>
      </c>
      <c r="F12" s="18" t="s">
        <v>61</v>
      </c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</row>
    <row r="13" customFormat="false" ht="19.5" hidden="false" customHeight="true" outlineLevel="0" collapsed="false">
      <c r="A13" s="14" t="n">
        <v>8</v>
      </c>
      <c r="B13" s="15" t="s">
        <v>62</v>
      </c>
      <c r="C13" s="16" t="s">
        <v>43</v>
      </c>
      <c r="D13" s="16" t="s">
        <v>63</v>
      </c>
      <c r="E13" s="17" t="n">
        <f aca="false">COUNTA(G13:U13)</f>
        <v>0</v>
      </c>
      <c r="F13" s="18" t="s">
        <v>64</v>
      </c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</row>
    <row r="14" customFormat="false" ht="45" hidden="false" customHeight="true" outlineLevel="0" collapsed="false">
      <c r="A14" s="14" t="n">
        <v>9</v>
      </c>
      <c r="B14" s="15" t="s">
        <v>65</v>
      </c>
      <c r="C14" s="16" t="s">
        <v>66</v>
      </c>
      <c r="D14" s="16" t="s">
        <v>67</v>
      </c>
      <c r="E14" s="17" t="n">
        <f aca="false">COUNTA(G14:U14)</f>
        <v>0</v>
      </c>
      <c r="F14" s="18" t="s">
        <v>68</v>
      </c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</row>
    <row r="15" customFormat="false" ht="31.5" hidden="false" customHeight="true" outlineLevel="0" collapsed="false">
      <c r="A15" s="14" t="n">
        <v>10</v>
      </c>
      <c r="B15" s="15" t="s">
        <v>69</v>
      </c>
      <c r="C15" s="16" t="s">
        <v>43</v>
      </c>
      <c r="D15" s="16" t="s">
        <v>70</v>
      </c>
      <c r="E15" s="17" t="n">
        <f aca="false">COUNTA(G15:U15)</f>
        <v>0</v>
      </c>
      <c r="F15" s="18" t="s">
        <v>71</v>
      </c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</row>
    <row r="16" customFormat="false" ht="57.75" hidden="false" customHeight="true" outlineLevel="0" collapsed="false">
      <c r="A16" s="14" t="n">
        <v>11</v>
      </c>
      <c r="B16" s="15" t="s">
        <v>72</v>
      </c>
      <c r="C16" s="16" t="s">
        <v>73</v>
      </c>
      <c r="D16" s="16" t="s">
        <v>74</v>
      </c>
      <c r="E16" s="17" t="n">
        <f aca="false">COUNTA(G16:U16)</f>
        <v>0</v>
      </c>
      <c r="F16" s="18" t="s">
        <v>75</v>
      </c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</row>
    <row r="17" customFormat="false" ht="31.5" hidden="false" customHeight="true" outlineLevel="0" collapsed="false">
      <c r="A17" s="14" t="n">
        <v>12</v>
      </c>
      <c r="B17" s="15" t="s">
        <v>76</v>
      </c>
      <c r="C17" s="16" t="s">
        <v>43</v>
      </c>
      <c r="D17" s="16" t="s">
        <v>77</v>
      </c>
      <c r="E17" s="17" t="n">
        <f aca="false">COUNTA(G17:U17)</f>
        <v>0</v>
      </c>
      <c r="F17" s="18" t="s">
        <v>78</v>
      </c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</row>
    <row r="18" customFormat="false" ht="31.5" hidden="false" customHeight="true" outlineLevel="0" collapsed="false">
      <c r="A18" s="14" t="n">
        <v>13</v>
      </c>
      <c r="B18" s="15" t="s">
        <v>79</v>
      </c>
      <c r="C18" s="16" t="s">
        <v>80</v>
      </c>
      <c r="D18" s="16" t="s">
        <v>81</v>
      </c>
      <c r="E18" s="17" t="n">
        <f aca="false">COUNTA(G18:U18)</f>
        <v>0</v>
      </c>
      <c r="F18" s="18" t="n">
        <v>4</v>
      </c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</row>
    <row r="19" customFormat="false" ht="31.5" hidden="false" customHeight="true" outlineLevel="0" collapsed="false">
      <c r="A19" s="14" t="n">
        <v>14</v>
      </c>
      <c r="B19" s="15" t="s">
        <v>82</v>
      </c>
      <c r="C19" s="16" t="s">
        <v>43</v>
      </c>
      <c r="D19" s="16" t="s">
        <v>83</v>
      </c>
      <c r="E19" s="17" t="n">
        <f aca="false">COUNTA(G19:U19)</f>
        <v>0</v>
      </c>
      <c r="F19" s="18" t="s">
        <v>84</v>
      </c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</row>
    <row r="20" customFormat="false" ht="45" hidden="false" customHeight="true" outlineLevel="0" collapsed="false">
      <c r="A20" s="14" t="n">
        <v>15</v>
      </c>
      <c r="B20" s="15" t="s">
        <v>85</v>
      </c>
      <c r="C20" s="16" t="s">
        <v>43</v>
      </c>
      <c r="D20" s="16" t="s">
        <v>86</v>
      </c>
      <c r="E20" s="17" t="n">
        <f aca="false">COUNTA(G20:U20)</f>
        <v>0</v>
      </c>
      <c r="F20" s="18" t="s">
        <v>87</v>
      </c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</row>
    <row r="21" customFormat="false" ht="31.5" hidden="false" customHeight="true" outlineLevel="0" collapsed="false">
      <c r="A21" s="14" t="n">
        <v>16</v>
      </c>
      <c r="B21" s="15" t="s">
        <v>88</v>
      </c>
      <c r="C21" s="16" t="s">
        <v>39</v>
      </c>
      <c r="D21" s="16" t="s">
        <v>89</v>
      </c>
      <c r="E21" s="17" t="n">
        <f aca="false">COUNTA(G21:U21)</f>
        <v>0</v>
      </c>
      <c r="F21" s="18" t="s">
        <v>90</v>
      </c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</row>
    <row r="22" customFormat="false" ht="24" hidden="false" customHeight="true" outlineLevel="0" collapsed="false">
      <c r="A22" s="12"/>
      <c r="B22" s="13" t="s">
        <v>91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customFormat="false" ht="19.5" hidden="false" customHeight="true" outlineLevel="0" collapsed="false">
      <c r="A23" s="14"/>
      <c r="B23" s="15" t="s">
        <v>92</v>
      </c>
      <c r="C23" s="16" t="s">
        <v>93</v>
      </c>
      <c r="D23" s="16" t="s">
        <v>94</v>
      </c>
      <c r="E23" s="17" t="n">
        <f aca="false">COUNTA(G23:U23)</f>
        <v>0</v>
      </c>
      <c r="F23" s="18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</row>
    <row r="24" customFormat="false" ht="19.5" hidden="false" customHeight="true" outlineLevel="0" collapsed="false">
      <c r="A24" s="14"/>
      <c r="B24" s="15" t="s">
        <v>95</v>
      </c>
      <c r="C24" s="16" t="s">
        <v>39</v>
      </c>
      <c r="D24" s="16" t="s">
        <v>96</v>
      </c>
      <c r="E24" s="17" t="n">
        <f aca="false">COUNTA(G24:U24)</f>
        <v>0</v>
      </c>
      <c r="F24" s="18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</row>
    <row r="25" customFormat="false" ht="57.75" hidden="false" customHeight="true" outlineLevel="0" collapsed="false">
      <c r="A25" s="14" t="n">
        <v>1</v>
      </c>
      <c r="B25" s="15" t="s">
        <v>97</v>
      </c>
      <c r="C25" s="16" t="s">
        <v>98</v>
      </c>
      <c r="D25" s="16" t="s">
        <v>99</v>
      </c>
      <c r="E25" s="17" t="n">
        <f aca="false">COUNTA(G25:U25)</f>
        <v>0</v>
      </c>
      <c r="F25" s="18" t="s">
        <v>100</v>
      </c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</row>
    <row r="26" customFormat="false" ht="57.75" hidden="false" customHeight="true" outlineLevel="0" collapsed="false">
      <c r="A26" s="14" t="n">
        <v>2</v>
      </c>
      <c r="B26" s="15" t="s">
        <v>101</v>
      </c>
      <c r="C26" s="16" t="s">
        <v>98</v>
      </c>
      <c r="D26" s="16" t="s">
        <v>102</v>
      </c>
      <c r="E26" s="17" t="n">
        <f aca="false">COUNTA(G26:U26)</f>
        <v>0</v>
      </c>
      <c r="F26" s="18" t="s">
        <v>103</v>
      </c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</row>
    <row r="27" customFormat="false" ht="57.75" hidden="false" customHeight="true" outlineLevel="0" collapsed="false">
      <c r="A27" s="14" t="n">
        <v>3</v>
      </c>
      <c r="B27" s="15" t="s">
        <v>104</v>
      </c>
      <c r="C27" s="16" t="s">
        <v>98</v>
      </c>
      <c r="D27" s="16" t="s">
        <v>105</v>
      </c>
      <c r="E27" s="17" t="n">
        <f aca="false">COUNTA(G27:U27)</f>
        <v>0</v>
      </c>
      <c r="F27" s="18" t="s">
        <v>106</v>
      </c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</row>
    <row r="28" customFormat="false" ht="57.75" hidden="false" customHeight="true" outlineLevel="0" collapsed="false">
      <c r="A28" s="14" t="n">
        <v>4</v>
      </c>
      <c r="B28" s="15" t="s">
        <v>107</v>
      </c>
      <c r="C28" s="16" t="s">
        <v>98</v>
      </c>
      <c r="D28" s="16" t="s">
        <v>108</v>
      </c>
      <c r="E28" s="17" t="n">
        <f aca="false">COUNTA(G28:U28)</f>
        <v>0</v>
      </c>
      <c r="F28" s="18" t="s">
        <v>109</v>
      </c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</row>
    <row r="29" customFormat="false" ht="57.75" hidden="false" customHeight="true" outlineLevel="0" collapsed="false">
      <c r="A29" s="14" t="n">
        <v>5</v>
      </c>
      <c r="B29" s="15" t="s">
        <v>110</v>
      </c>
      <c r="C29" s="16" t="s">
        <v>98</v>
      </c>
      <c r="D29" s="16" t="s">
        <v>111</v>
      </c>
      <c r="E29" s="17" t="n">
        <f aca="false">COUNTA(G29:U29)</f>
        <v>0</v>
      </c>
      <c r="F29" s="18" t="s">
        <v>112</v>
      </c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</row>
    <row r="30" customFormat="false" ht="57.75" hidden="false" customHeight="true" outlineLevel="0" collapsed="false">
      <c r="A30" s="14" t="n">
        <v>6</v>
      </c>
      <c r="B30" s="15" t="s">
        <v>113</v>
      </c>
      <c r="C30" s="16" t="s">
        <v>98</v>
      </c>
      <c r="D30" s="16" t="s">
        <v>114</v>
      </c>
      <c r="E30" s="17" t="n">
        <f aca="false">COUNTA(G30:U30)</f>
        <v>0</v>
      </c>
      <c r="F30" s="18" t="s">
        <v>115</v>
      </c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</row>
    <row r="31" customFormat="false" ht="57.75" hidden="false" customHeight="true" outlineLevel="0" collapsed="false">
      <c r="A31" s="14" t="n">
        <v>7</v>
      </c>
      <c r="B31" s="15" t="s">
        <v>116</v>
      </c>
      <c r="C31" s="16" t="s">
        <v>98</v>
      </c>
      <c r="D31" s="16" t="s">
        <v>117</v>
      </c>
      <c r="E31" s="17" t="n">
        <f aca="false">COUNTA(G31:U31)</f>
        <v>0</v>
      </c>
      <c r="F31" s="18" t="s">
        <v>118</v>
      </c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</row>
    <row r="32" customFormat="false" ht="57.75" hidden="false" customHeight="true" outlineLevel="0" collapsed="false">
      <c r="A32" s="14" t="n">
        <v>8</v>
      </c>
      <c r="B32" s="15" t="s">
        <v>119</v>
      </c>
      <c r="C32" s="16" t="s">
        <v>98</v>
      </c>
      <c r="D32" s="16" t="s">
        <v>120</v>
      </c>
      <c r="E32" s="17" t="n">
        <f aca="false">COUNTA(G32:U32)</f>
        <v>0</v>
      </c>
      <c r="F32" s="18" t="s">
        <v>121</v>
      </c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</row>
    <row r="33" customFormat="false" ht="57.75" hidden="false" customHeight="true" outlineLevel="0" collapsed="false">
      <c r="A33" s="14" t="n">
        <v>9</v>
      </c>
      <c r="B33" s="15" t="s">
        <v>122</v>
      </c>
      <c r="C33" s="16" t="s">
        <v>98</v>
      </c>
      <c r="D33" s="16" t="s">
        <v>123</v>
      </c>
      <c r="E33" s="17" t="n">
        <f aca="false">COUNTA(G33:U33)</f>
        <v>0</v>
      </c>
      <c r="F33" s="18" t="s">
        <v>124</v>
      </c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</row>
    <row r="34" customFormat="false" ht="57.75" hidden="false" customHeight="true" outlineLevel="0" collapsed="false">
      <c r="A34" s="14" t="n">
        <v>10</v>
      </c>
      <c r="B34" s="15" t="s">
        <v>125</v>
      </c>
      <c r="C34" s="16" t="s">
        <v>98</v>
      </c>
      <c r="D34" s="16" t="s">
        <v>126</v>
      </c>
      <c r="E34" s="17" t="n">
        <f aca="false">COUNTA(G34:U34)</f>
        <v>0</v>
      </c>
      <c r="F34" s="18" t="s">
        <v>127</v>
      </c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</row>
    <row r="35" customFormat="false" ht="57.75" hidden="false" customHeight="true" outlineLevel="0" collapsed="false">
      <c r="A35" s="14" t="n">
        <v>11</v>
      </c>
      <c r="B35" s="15" t="s">
        <v>128</v>
      </c>
      <c r="C35" s="16" t="s">
        <v>98</v>
      </c>
      <c r="D35" s="16" t="s">
        <v>129</v>
      </c>
      <c r="E35" s="17" t="n">
        <f aca="false">COUNTA(G35:U35)</f>
        <v>0</v>
      </c>
      <c r="F35" s="18" t="s">
        <v>130</v>
      </c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</row>
    <row r="36" customFormat="false" ht="57.75" hidden="false" customHeight="true" outlineLevel="0" collapsed="false">
      <c r="A36" s="14" t="n">
        <v>12</v>
      </c>
      <c r="B36" s="15" t="s">
        <v>131</v>
      </c>
      <c r="C36" s="16" t="s">
        <v>98</v>
      </c>
      <c r="D36" s="16" t="s">
        <v>132</v>
      </c>
      <c r="E36" s="17" t="n">
        <f aca="false">COUNTA(G36:U36)</f>
        <v>0</v>
      </c>
      <c r="F36" s="18" t="s">
        <v>133</v>
      </c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</row>
    <row r="37" customFormat="false" ht="57.75" hidden="false" customHeight="true" outlineLevel="0" collapsed="false">
      <c r="A37" s="14" t="n">
        <v>13</v>
      </c>
      <c r="B37" s="15" t="s">
        <v>134</v>
      </c>
      <c r="C37" s="16" t="s">
        <v>98</v>
      </c>
      <c r="D37" s="16" t="s">
        <v>135</v>
      </c>
      <c r="E37" s="17" t="n">
        <f aca="false">COUNTA(G37:U37)</f>
        <v>0</v>
      </c>
      <c r="F37" s="18" t="s">
        <v>136</v>
      </c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</row>
    <row r="38" customFormat="false" ht="57.75" hidden="false" customHeight="true" outlineLevel="0" collapsed="false">
      <c r="A38" s="14" t="n">
        <v>14</v>
      </c>
      <c r="B38" s="15" t="s">
        <v>137</v>
      </c>
      <c r="C38" s="16" t="s">
        <v>98</v>
      </c>
      <c r="D38" s="16" t="s">
        <v>138</v>
      </c>
      <c r="E38" s="17" t="n">
        <f aca="false">COUNTA(G38:U38)</f>
        <v>0</v>
      </c>
      <c r="F38" s="18" t="s">
        <v>139</v>
      </c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</row>
    <row r="39" customFormat="false" ht="57.75" hidden="false" customHeight="true" outlineLevel="0" collapsed="false">
      <c r="A39" s="14" t="n">
        <v>15</v>
      </c>
      <c r="B39" s="15" t="s">
        <v>140</v>
      </c>
      <c r="C39" s="16" t="s">
        <v>98</v>
      </c>
      <c r="D39" s="16" t="s">
        <v>141</v>
      </c>
      <c r="E39" s="17" t="n">
        <f aca="false">COUNTA(G39:U39)</f>
        <v>0</v>
      </c>
      <c r="F39" s="18" t="s">
        <v>142</v>
      </c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</row>
    <row r="40" customFormat="false" ht="57.75" hidden="false" customHeight="true" outlineLevel="0" collapsed="false">
      <c r="A40" s="14" t="s">
        <v>143</v>
      </c>
      <c r="B40" s="15" t="s">
        <v>144</v>
      </c>
      <c r="C40" s="16" t="s">
        <v>98</v>
      </c>
      <c r="D40" s="16" t="s">
        <v>145</v>
      </c>
      <c r="E40" s="17" t="n">
        <f aca="false">COUNTA(G40:U40)</f>
        <v>0</v>
      </c>
      <c r="F40" s="18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</row>
    <row r="41" customFormat="false" ht="24" hidden="false" customHeight="true" outlineLevel="0" collapsed="false">
      <c r="A41" s="12"/>
      <c r="B41" s="13" t="s">
        <v>146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customFormat="false" ht="84" hidden="false" customHeight="true" outlineLevel="0" collapsed="false">
      <c r="A42" s="14"/>
      <c r="B42" s="15" t="s">
        <v>147</v>
      </c>
      <c r="C42" s="16" t="s">
        <v>66</v>
      </c>
      <c r="D42" s="16" t="s">
        <v>148</v>
      </c>
      <c r="E42" s="17" t="n">
        <f aca="false">COUNTA(G42:U42)</f>
        <v>0</v>
      </c>
      <c r="F42" s="18" t="s">
        <v>149</v>
      </c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</row>
    <row r="43" customFormat="false" ht="57.75" hidden="false" customHeight="true" outlineLevel="0" collapsed="false">
      <c r="A43" s="14"/>
      <c r="B43" s="15" t="s">
        <v>150</v>
      </c>
      <c r="C43" s="16" t="s">
        <v>151</v>
      </c>
      <c r="D43" s="16" t="s">
        <v>152</v>
      </c>
      <c r="E43" s="17" t="n">
        <f aca="false">COUNTA(G43:U43)</f>
        <v>0</v>
      </c>
      <c r="F43" s="18" t="s">
        <v>153</v>
      </c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</row>
    <row r="44" customFormat="false" ht="57.75" hidden="false" customHeight="true" outlineLevel="0" collapsed="false">
      <c r="A44" s="14"/>
      <c r="B44" s="15" t="s">
        <v>154</v>
      </c>
      <c r="C44" s="16" t="s">
        <v>151</v>
      </c>
      <c r="D44" s="16" t="s">
        <v>155</v>
      </c>
      <c r="E44" s="17" t="n">
        <f aca="false">COUNTA(G44:U44)</f>
        <v>0</v>
      </c>
      <c r="F44" s="18" t="s">
        <v>156</v>
      </c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</row>
    <row r="45" customFormat="false" ht="19.5" hidden="false" customHeight="true" outlineLevel="0" collapsed="false">
      <c r="A45" s="14"/>
      <c r="B45" s="15" t="s">
        <v>157</v>
      </c>
      <c r="C45" s="16" t="s">
        <v>43</v>
      </c>
      <c r="D45" s="16" t="s">
        <v>158</v>
      </c>
      <c r="E45" s="17" t="n">
        <f aca="false">COUNTA(G45:U45)</f>
        <v>0</v>
      </c>
      <c r="F45" s="18" t="s">
        <v>159</v>
      </c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</row>
  </sheetData>
  <mergeCells count="3">
    <mergeCell ref="A1:B1"/>
    <mergeCell ref="A2:B2"/>
    <mergeCell ref="A3:B3"/>
  </mergeCells>
  <dataValidations count="11">
    <dataValidation allowBlank="true" errorStyle="stop" operator="between" showDropDown="false" showErrorMessage="false" showInputMessage="false" sqref="G18:U18" type="list">
      <formula1>"1,2,3,4,5"</formula1>
      <formula2>0</formula2>
    </dataValidation>
    <dataValidation allowBlank="true" errorStyle="stop" operator="between" showDropDown="false" showErrorMessage="false" showInputMessage="false" sqref="G7:U7" type="list">
      <formula1>Списки!$A$1:$A$4</formula1>
      <formula2>0</formula2>
    </dataValidation>
    <dataValidation allowBlank="true" errorStyle="stop" operator="between" showDropDown="false" showErrorMessage="false" showInputMessage="false" sqref="G8:U8" type="list">
      <formula1>Списки!$B$1:$B$5</formula1>
      <formula2>0</formula2>
    </dataValidation>
    <dataValidation allowBlank="true" errorStyle="stop" operator="between" showDropDown="false" showErrorMessage="false" showInputMessage="false" sqref="G9:U9" type="list">
      <formula1>Списки!$C$1:$C$7</formula1>
      <formula2>0</formula2>
    </dataValidation>
    <dataValidation allowBlank="true" errorStyle="stop" operator="between" showDropDown="false" showErrorMessage="false" showInputMessage="false" sqref="G12:U12" type="list">
      <formula1>Списки!$D$1:$D$3</formula1>
      <formula2>0</formula2>
    </dataValidation>
    <dataValidation allowBlank="true" errorStyle="stop" operator="between" showDropDown="false" showErrorMessage="false" showInputMessage="false" sqref="G13:U13" type="list">
      <formula1>Списки!$E$1:$E$4</formula1>
      <formula2>0</formula2>
    </dataValidation>
    <dataValidation allowBlank="true" errorStyle="stop" operator="between" showDropDown="false" showErrorMessage="false" showInputMessage="false" sqref="G15:U15" type="list">
      <formula1>Списки!$F$1:$F$5</formula1>
      <formula2>0</formula2>
    </dataValidation>
    <dataValidation allowBlank="true" errorStyle="stop" operator="between" showDropDown="false" showErrorMessage="false" showInputMessage="false" sqref="G17:U17" type="list">
      <formula1>Списки!$G$1:$G$4</formula1>
      <formula2>0</formula2>
    </dataValidation>
    <dataValidation allowBlank="true" errorStyle="stop" operator="between" showDropDown="false" showErrorMessage="false" showInputMessage="false" sqref="G19:U19" type="list">
      <formula1>Списки!$H$1:$H$8</formula1>
      <formula2>0</formula2>
    </dataValidation>
    <dataValidation allowBlank="true" errorStyle="stop" operator="between" showDropDown="false" showErrorMessage="false" showInputMessage="false" sqref="G20:U20" type="list">
      <formula1>Списки!$I$1:$I$5</formula1>
      <formula2>0</formula2>
    </dataValidation>
    <dataValidation allowBlank="true" errorStyle="stop" operator="between" showDropDown="false" showErrorMessage="false" showInputMessage="false" sqref="G45:U45" type="list">
      <formula1>Списки!$J$1:$J$2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F46B8"/>
    <pageSetUpPr fitToPage="false"/>
  </sheetPr>
  <dimension ref="A1:P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17"/>
    <col collapsed="false" customWidth="true" hidden="false" outlineLevel="0" max="4" min="4" style="0" width="42"/>
    <col collapsed="false" customWidth="true" hidden="false" outlineLevel="0" max="5" min="5" style="0" width="10"/>
    <col collapsed="false" customWidth="true" hidden="false" outlineLevel="0" max="16" min="6" style="0" width="30"/>
  </cols>
  <sheetData>
    <row r="1" customFormat="false" ht="25.5" hidden="false" customHeight="true" outlineLevel="0" collapsed="false">
      <c r="A1" s="10" t="s">
        <v>160</v>
      </c>
      <c r="B1" s="10"/>
    </row>
    <row r="2" customFormat="false" ht="43.5" hidden="false" customHeight="true" outlineLevel="0" collapsed="false">
      <c r="A2" s="11" t="s">
        <v>161</v>
      </c>
      <c r="B2" s="11"/>
    </row>
    <row r="3" customFormat="false" ht="31.5" hidden="false" customHeight="true" outlineLevel="0" collapsed="false">
      <c r="A3" s="11" t="s">
        <v>32</v>
      </c>
      <c r="B3" s="11"/>
    </row>
    <row r="4" customFormat="false" ht="30" hidden="false" customHeight="true" outlineLevel="0" collapsed="false">
      <c r="A4" s="5" t="s">
        <v>33</v>
      </c>
      <c r="B4" s="5" t="s">
        <v>34</v>
      </c>
      <c r="C4" s="5" t="s">
        <v>35</v>
      </c>
      <c r="D4" s="5" t="s">
        <v>36</v>
      </c>
      <c r="E4" s="5" t="s">
        <v>11</v>
      </c>
      <c r="F4" s="5" t="s">
        <v>9</v>
      </c>
      <c r="G4" s="5" t="str">
        <f aca="false">IF(G$6="","Человек 1",G$6)</f>
        <v>Человек 1</v>
      </c>
      <c r="H4" s="5" t="str">
        <f aca="false">IF(H$6="","Человек 2",H$6)</f>
        <v>Человек 2</v>
      </c>
      <c r="I4" s="5" t="str">
        <f aca="false">IF(I$6="","Человек 3",I$6)</f>
        <v>Человек 3</v>
      </c>
      <c r="J4" s="5" t="str">
        <f aca="false">IF(J$6="","Человек 4",J$6)</f>
        <v>Человек 4</v>
      </c>
      <c r="K4" s="5" t="str">
        <f aca="false">IF(K$6="","Человек 5",K$6)</f>
        <v>Человек 5</v>
      </c>
      <c r="L4" s="5" t="str">
        <f aca="false">IF(L$6="","Человек 6",L$6)</f>
        <v>Человек 6</v>
      </c>
      <c r="M4" s="5" t="str">
        <f aca="false">IF(M$6="","Человек 7",M$6)</f>
        <v>Человек 7</v>
      </c>
      <c r="N4" s="5" t="str">
        <f aca="false">IF(N$6="","Человек 8",N$6)</f>
        <v>Человек 8</v>
      </c>
      <c r="O4" s="5" t="str">
        <f aca="false">IF(O$6="","Человек 9",O$6)</f>
        <v>Человек 9</v>
      </c>
      <c r="P4" s="5" t="str">
        <f aca="false">IF(P$6="","Человек 10",P$6)</f>
        <v>Человек 10</v>
      </c>
    </row>
    <row r="5" customFormat="false" ht="24" hidden="false" customHeight="true" outlineLevel="0" collapsed="false">
      <c r="A5" s="12"/>
      <c r="B5" s="13" t="s">
        <v>37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customFormat="false" ht="19.5" hidden="false" customHeight="true" outlineLevel="0" collapsed="false">
      <c r="A6" s="14" t="n">
        <v>1</v>
      </c>
      <c r="B6" s="15" t="s">
        <v>162</v>
      </c>
      <c r="C6" s="16" t="s">
        <v>39</v>
      </c>
      <c r="D6" s="16" t="s">
        <v>163</v>
      </c>
      <c r="E6" s="17" t="n">
        <f aca="false">COUNTA(G6:P6)</f>
        <v>0</v>
      </c>
      <c r="F6" s="18" t="s">
        <v>164</v>
      </c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9.5" hidden="false" customHeight="true" outlineLevel="0" collapsed="false">
      <c r="A7" s="14" t="n">
        <v>2</v>
      </c>
      <c r="B7" s="15" t="s">
        <v>165</v>
      </c>
      <c r="C7" s="16" t="s">
        <v>39</v>
      </c>
      <c r="D7" s="16" t="s">
        <v>166</v>
      </c>
      <c r="E7" s="17" t="n">
        <f aca="false">COUNTA(G7:P7)</f>
        <v>0</v>
      </c>
      <c r="F7" s="18" t="s">
        <v>167</v>
      </c>
      <c r="G7" s="19"/>
      <c r="H7" s="19"/>
      <c r="I7" s="19"/>
      <c r="J7" s="19"/>
      <c r="K7" s="19"/>
      <c r="L7" s="19"/>
      <c r="M7" s="19"/>
      <c r="N7" s="19"/>
      <c r="O7" s="19"/>
      <c r="P7" s="19"/>
    </row>
    <row r="8" customFormat="false" ht="70.5" hidden="false" customHeight="true" outlineLevel="0" collapsed="false">
      <c r="A8" s="14" t="n">
        <v>3</v>
      </c>
      <c r="B8" s="15" t="s">
        <v>168</v>
      </c>
      <c r="C8" s="16" t="s">
        <v>73</v>
      </c>
      <c r="D8" s="16" t="s">
        <v>169</v>
      </c>
      <c r="E8" s="17" t="n">
        <f aca="false">COUNTA(G8:P8)</f>
        <v>0</v>
      </c>
      <c r="F8" s="18" t="s">
        <v>170</v>
      </c>
      <c r="G8" s="19"/>
      <c r="H8" s="19"/>
      <c r="I8" s="19"/>
      <c r="J8" s="19"/>
      <c r="K8" s="19"/>
      <c r="L8" s="19"/>
      <c r="M8" s="19"/>
      <c r="N8" s="19"/>
      <c r="O8" s="19"/>
      <c r="P8" s="19"/>
    </row>
    <row r="9" customFormat="false" ht="19.5" hidden="false" customHeight="true" outlineLevel="0" collapsed="false">
      <c r="A9" s="14" t="n">
        <v>4</v>
      </c>
      <c r="B9" s="15" t="s">
        <v>171</v>
      </c>
      <c r="C9" s="16" t="s">
        <v>39</v>
      </c>
      <c r="D9" s="16" t="s">
        <v>172</v>
      </c>
      <c r="E9" s="17" t="n">
        <f aca="false">COUNTA(G9:P9)</f>
        <v>0</v>
      </c>
      <c r="F9" s="18" t="s">
        <v>173</v>
      </c>
      <c r="G9" s="19"/>
      <c r="H9" s="19"/>
      <c r="I9" s="19"/>
      <c r="J9" s="19"/>
      <c r="K9" s="19"/>
      <c r="L9" s="19"/>
      <c r="M9" s="19"/>
      <c r="N9" s="19"/>
      <c r="O9" s="19"/>
      <c r="P9" s="19"/>
    </row>
    <row r="10" customFormat="false" ht="31.5" hidden="false" customHeight="true" outlineLevel="0" collapsed="false">
      <c r="A10" s="14" t="n">
        <v>5</v>
      </c>
      <c r="B10" s="15" t="s">
        <v>174</v>
      </c>
      <c r="C10" s="16" t="s">
        <v>43</v>
      </c>
      <c r="D10" s="16" t="s">
        <v>175</v>
      </c>
      <c r="E10" s="17" t="n">
        <f aca="false">COUNTA(G10:P10)</f>
        <v>0</v>
      </c>
      <c r="F10" s="18" t="s">
        <v>176</v>
      </c>
      <c r="G10" s="19"/>
      <c r="H10" s="19"/>
      <c r="I10" s="19"/>
      <c r="J10" s="19"/>
      <c r="K10" s="19"/>
      <c r="L10" s="19"/>
      <c r="M10" s="19"/>
      <c r="N10" s="19"/>
      <c r="O10" s="19"/>
      <c r="P10" s="19"/>
    </row>
    <row r="11" customFormat="false" ht="31.5" hidden="false" customHeight="true" outlineLevel="0" collapsed="false">
      <c r="A11" s="14" t="n">
        <v>6</v>
      </c>
      <c r="B11" s="15" t="s">
        <v>177</v>
      </c>
      <c r="C11" s="16" t="s">
        <v>43</v>
      </c>
      <c r="D11" s="16" t="s">
        <v>178</v>
      </c>
      <c r="E11" s="17" t="n">
        <f aca="false">COUNTA(G11:P11)</f>
        <v>0</v>
      </c>
      <c r="F11" s="18" t="s">
        <v>179</v>
      </c>
      <c r="G11" s="19"/>
      <c r="H11" s="19"/>
      <c r="I11" s="19"/>
      <c r="J11" s="19"/>
      <c r="K11" s="19"/>
      <c r="L11" s="19"/>
      <c r="M11" s="19"/>
      <c r="N11" s="19"/>
      <c r="O11" s="19"/>
      <c r="P11" s="19"/>
    </row>
    <row r="12" customFormat="false" ht="57.75" hidden="false" customHeight="true" outlineLevel="0" collapsed="false">
      <c r="A12" s="14" t="n">
        <v>7</v>
      </c>
      <c r="B12" s="15" t="s">
        <v>180</v>
      </c>
      <c r="C12" s="16" t="s">
        <v>66</v>
      </c>
      <c r="D12" s="16" t="s">
        <v>181</v>
      </c>
      <c r="E12" s="17" t="n">
        <f aca="false">COUNTA(G12:P12)</f>
        <v>0</v>
      </c>
      <c r="F12" s="18" t="s">
        <v>182</v>
      </c>
      <c r="G12" s="19"/>
      <c r="H12" s="19"/>
      <c r="I12" s="19"/>
      <c r="J12" s="19"/>
      <c r="K12" s="19"/>
      <c r="L12" s="19"/>
      <c r="M12" s="19"/>
      <c r="N12" s="19"/>
      <c r="O12" s="19"/>
      <c r="P12" s="19"/>
    </row>
    <row r="13" customFormat="false" ht="31.5" hidden="false" customHeight="true" outlineLevel="0" collapsed="false">
      <c r="A13" s="14" t="n">
        <v>8</v>
      </c>
      <c r="B13" s="15" t="s">
        <v>183</v>
      </c>
      <c r="C13" s="16" t="s">
        <v>43</v>
      </c>
      <c r="D13" s="16" t="s">
        <v>184</v>
      </c>
      <c r="E13" s="17" t="n">
        <f aca="false">COUNTA(G13:P13)</f>
        <v>0</v>
      </c>
      <c r="F13" s="18" t="s">
        <v>185</v>
      </c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57.75" hidden="false" customHeight="true" outlineLevel="0" collapsed="false">
      <c r="A14" s="14" t="n">
        <v>9</v>
      </c>
      <c r="B14" s="15" t="s">
        <v>186</v>
      </c>
      <c r="C14" s="16" t="s">
        <v>66</v>
      </c>
      <c r="D14" s="16" t="s">
        <v>187</v>
      </c>
      <c r="E14" s="17" t="n">
        <f aca="false">COUNTA(G14:P14)</f>
        <v>0</v>
      </c>
      <c r="F14" s="18" t="s">
        <v>188</v>
      </c>
      <c r="G14" s="19"/>
      <c r="H14" s="19"/>
      <c r="I14" s="19"/>
      <c r="J14" s="19"/>
      <c r="K14" s="19"/>
      <c r="L14" s="19"/>
      <c r="M14" s="19"/>
      <c r="N14" s="19"/>
      <c r="O14" s="19"/>
      <c r="P14" s="19"/>
    </row>
    <row r="15" customFormat="false" ht="31.5" hidden="false" customHeight="true" outlineLevel="0" collapsed="false">
      <c r="A15" s="14" t="n">
        <v>10</v>
      </c>
      <c r="B15" s="15" t="s">
        <v>189</v>
      </c>
      <c r="C15" s="16" t="s">
        <v>43</v>
      </c>
      <c r="D15" s="16" t="s">
        <v>190</v>
      </c>
      <c r="E15" s="17" t="n">
        <f aca="false">COUNTA(G15:P15)</f>
        <v>0</v>
      </c>
      <c r="F15" s="18" t="s">
        <v>191</v>
      </c>
      <c r="G15" s="19"/>
      <c r="H15" s="19"/>
      <c r="I15" s="19"/>
      <c r="J15" s="19"/>
      <c r="K15" s="19"/>
      <c r="L15" s="19"/>
      <c r="M15" s="19"/>
      <c r="N15" s="19"/>
      <c r="O15" s="19"/>
      <c r="P15" s="19"/>
    </row>
    <row r="16" customFormat="false" ht="19.5" hidden="false" customHeight="true" outlineLevel="0" collapsed="false">
      <c r="A16" s="14" t="n">
        <v>11</v>
      </c>
      <c r="B16" s="15" t="s">
        <v>192</v>
      </c>
      <c r="C16" s="16" t="s">
        <v>43</v>
      </c>
      <c r="D16" s="16" t="s">
        <v>193</v>
      </c>
      <c r="E16" s="17" t="n">
        <f aca="false">COUNTA(G16:P16)</f>
        <v>0</v>
      </c>
      <c r="F16" s="18" t="s">
        <v>194</v>
      </c>
      <c r="G16" s="19"/>
      <c r="H16" s="19"/>
      <c r="I16" s="19"/>
      <c r="J16" s="19"/>
      <c r="K16" s="19"/>
      <c r="L16" s="19"/>
      <c r="M16" s="19"/>
      <c r="N16" s="19"/>
      <c r="O16" s="19"/>
      <c r="P16" s="19"/>
    </row>
    <row r="17" customFormat="false" ht="31.5" hidden="false" customHeight="true" outlineLevel="0" collapsed="false">
      <c r="A17" s="14" t="n">
        <v>12</v>
      </c>
      <c r="B17" s="15" t="s">
        <v>195</v>
      </c>
      <c r="C17" s="16" t="s">
        <v>43</v>
      </c>
      <c r="D17" s="16" t="s">
        <v>196</v>
      </c>
      <c r="E17" s="17" t="n">
        <f aca="false">COUNTA(G17:P17)</f>
        <v>0</v>
      </c>
      <c r="F17" s="18" t="s">
        <v>197</v>
      </c>
      <c r="G17" s="19"/>
      <c r="H17" s="19"/>
      <c r="I17" s="19"/>
      <c r="J17" s="19"/>
      <c r="K17" s="19"/>
      <c r="L17" s="19"/>
      <c r="M17" s="19"/>
      <c r="N17" s="19"/>
      <c r="O17" s="19"/>
      <c r="P17" s="19"/>
    </row>
    <row r="18" customFormat="false" ht="31.5" hidden="false" customHeight="true" outlineLevel="0" collapsed="false">
      <c r="A18" s="14" t="n">
        <v>13</v>
      </c>
      <c r="B18" s="15" t="s">
        <v>198</v>
      </c>
      <c r="C18" s="16" t="s">
        <v>66</v>
      </c>
      <c r="D18" s="16" t="s">
        <v>199</v>
      </c>
      <c r="E18" s="17" t="n">
        <f aca="false">COUNTA(G18:P18)</f>
        <v>0</v>
      </c>
      <c r="F18" s="18" t="s">
        <v>200</v>
      </c>
      <c r="G18" s="19"/>
      <c r="H18" s="19"/>
      <c r="I18" s="19"/>
      <c r="J18" s="19"/>
      <c r="K18" s="19"/>
      <c r="L18" s="19"/>
      <c r="M18" s="19"/>
      <c r="N18" s="19"/>
      <c r="O18" s="19"/>
      <c r="P18" s="19"/>
    </row>
    <row r="19" customFormat="false" ht="45" hidden="false" customHeight="true" outlineLevel="0" collapsed="false">
      <c r="A19" s="14" t="n">
        <v>14</v>
      </c>
      <c r="B19" s="15" t="s">
        <v>201</v>
      </c>
      <c r="C19" s="16" t="s">
        <v>66</v>
      </c>
      <c r="D19" s="16" t="s">
        <v>202</v>
      </c>
      <c r="E19" s="17" t="n">
        <f aca="false">COUNTA(G19:P19)</f>
        <v>0</v>
      </c>
      <c r="F19" s="18" t="s">
        <v>203</v>
      </c>
      <c r="G19" s="19"/>
      <c r="H19" s="19"/>
      <c r="I19" s="19"/>
      <c r="J19" s="19"/>
      <c r="K19" s="19"/>
      <c r="L19" s="19"/>
      <c r="M19" s="19"/>
      <c r="N19" s="19"/>
      <c r="O19" s="19"/>
      <c r="P19" s="19"/>
    </row>
    <row r="20" customFormat="false" ht="31.5" hidden="false" customHeight="true" outlineLevel="0" collapsed="false">
      <c r="A20" s="14" t="n">
        <v>15</v>
      </c>
      <c r="B20" s="15" t="s">
        <v>204</v>
      </c>
      <c r="C20" s="16" t="s">
        <v>43</v>
      </c>
      <c r="D20" s="16" t="s">
        <v>205</v>
      </c>
      <c r="E20" s="17" t="n">
        <f aca="false">COUNTA(G20:P20)</f>
        <v>0</v>
      </c>
      <c r="F20" s="18" t="s">
        <v>206</v>
      </c>
      <c r="G20" s="19"/>
      <c r="H20" s="19"/>
      <c r="I20" s="19"/>
      <c r="J20" s="19"/>
      <c r="K20" s="19"/>
      <c r="L20" s="19"/>
      <c r="M20" s="19"/>
      <c r="N20" s="19"/>
      <c r="O20" s="19"/>
      <c r="P20" s="19"/>
    </row>
    <row r="21" customFormat="false" ht="19.5" hidden="false" customHeight="true" outlineLevel="0" collapsed="false">
      <c r="A21" s="14" t="n">
        <v>16</v>
      </c>
      <c r="B21" s="15" t="s">
        <v>207</v>
      </c>
      <c r="C21" s="16" t="s">
        <v>39</v>
      </c>
      <c r="D21" s="16" t="s">
        <v>208</v>
      </c>
      <c r="E21" s="17" t="n">
        <f aca="false">COUNTA(G21:P21)</f>
        <v>0</v>
      </c>
      <c r="F21" s="18" t="s">
        <v>209</v>
      </c>
      <c r="G21" s="19"/>
      <c r="H21" s="19"/>
      <c r="I21" s="19"/>
      <c r="J21" s="19"/>
      <c r="K21" s="19"/>
      <c r="L21" s="19"/>
      <c r="M21" s="19"/>
      <c r="N21" s="19"/>
      <c r="O21" s="19"/>
      <c r="P21" s="19"/>
    </row>
    <row r="22" customFormat="false" ht="19.5" hidden="false" customHeight="true" outlineLevel="0" collapsed="false">
      <c r="A22" s="14" t="n">
        <v>17</v>
      </c>
      <c r="B22" s="15" t="s">
        <v>210</v>
      </c>
      <c r="C22" s="16" t="s">
        <v>39</v>
      </c>
      <c r="D22" s="16" t="s">
        <v>89</v>
      </c>
      <c r="E22" s="17" t="n">
        <f aca="false">COUNTA(G22:P22)</f>
        <v>0</v>
      </c>
      <c r="F22" s="18" t="s">
        <v>211</v>
      </c>
      <c r="G22" s="19"/>
      <c r="H22" s="19"/>
      <c r="I22" s="19"/>
      <c r="J22" s="19"/>
      <c r="K22" s="19"/>
      <c r="L22" s="19"/>
      <c r="M22" s="19"/>
      <c r="N22" s="19"/>
      <c r="O22" s="19"/>
      <c r="P22" s="19"/>
    </row>
    <row r="23" customFormat="false" ht="24" hidden="false" customHeight="true" outlineLevel="0" collapsed="false">
      <c r="A23" s="12"/>
      <c r="B23" s="13" t="s">
        <v>212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customFormat="false" ht="19.5" hidden="false" customHeight="true" outlineLevel="0" collapsed="false">
      <c r="A24" s="14"/>
      <c r="B24" s="15" t="s">
        <v>92</v>
      </c>
      <c r="C24" s="16" t="s">
        <v>93</v>
      </c>
      <c r="D24" s="16" t="s">
        <v>94</v>
      </c>
      <c r="E24" s="17" t="n">
        <f aca="false">COUNTA(G24:P24)</f>
        <v>0</v>
      </c>
      <c r="F24" s="18"/>
      <c r="G24" s="20"/>
      <c r="H24" s="20"/>
      <c r="I24" s="20"/>
      <c r="J24" s="20"/>
      <c r="K24" s="20"/>
      <c r="L24" s="20"/>
      <c r="M24" s="20"/>
      <c r="N24" s="20"/>
      <c r="O24" s="20"/>
      <c r="P24" s="20"/>
    </row>
    <row r="25" customFormat="false" ht="19.5" hidden="false" customHeight="true" outlineLevel="0" collapsed="false">
      <c r="A25" s="14"/>
      <c r="B25" s="15" t="s">
        <v>95</v>
      </c>
      <c r="C25" s="16" t="s">
        <v>39</v>
      </c>
      <c r="D25" s="16" t="s">
        <v>96</v>
      </c>
      <c r="E25" s="17" t="n">
        <f aca="false">COUNTA(G25:P25)</f>
        <v>0</v>
      </c>
      <c r="F25" s="18"/>
      <c r="G25" s="19"/>
      <c r="H25" s="19"/>
      <c r="I25" s="19"/>
      <c r="J25" s="19"/>
      <c r="K25" s="19"/>
      <c r="L25" s="19"/>
      <c r="M25" s="19"/>
      <c r="N25" s="19"/>
      <c r="O25" s="19"/>
      <c r="P25" s="19"/>
    </row>
    <row r="26" customFormat="false" ht="57.75" hidden="false" customHeight="true" outlineLevel="0" collapsed="false">
      <c r="A26" s="14" t="n">
        <v>1</v>
      </c>
      <c r="B26" s="15" t="s">
        <v>213</v>
      </c>
      <c r="C26" s="16" t="s">
        <v>98</v>
      </c>
      <c r="D26" s="16" t="s">
        <v>214</v>
      </c>
      <c r="E26" s="17" t="n">
        <f aca="false">COUNTA(G26:P26)</f>
        <v>0</v>
      </c>
      <c r="F26" s="18" t="s">
        <v>215</v>
      </c>
      <c r="G26" s="19"/>
      <c r="H26" s="19"/>
      <c r="I26" s="19"/>
      <c r="J26" s="19"/>
      <c r="K26" s="19"/>
      <c r="L26" s="19"/>
      <c r="M26" s="19"/>
      <c r="N26" s="19"/>
      <c r="O26" s="19"/>
      <c r="P26" s="19"/>
    </row>
    <row r="27" customFormat="false" ht="57.75" hidden="false" customHeight="true" outlineLevel="0" collapsed="false">
      <c r="A27" s="14" t="n">
        <v>2</v>
      </c>
      <c r="B27" s="15" t="s">
        <v>216</v>
      </c>
      <c r="C27" s="16" t="s">
        <v>98</v>
      </c>
      <c r="D27" s="16" t="s">
        <v>217</v>
      </c>
      <c r="E27" s="17" t="n">
        <f aca="false">COUNTA(G27:P27)</f>
        <v>0</v>
      </c>
      <c r="F27" s="18"/>
      <c r="G27" s="19"/>
      <c r="H27" s="19"/>
      <c r="I27" s="19"/>
      <c r="J27" s="19"/>
      <c r="K27" s="19"/>
      <c r="L27" s="19"/>
      <c r="M27" s="19"/>
      <c r="N27" s="19"/>
      <c r="O27" s="19"/>
      <c r="P27" s="19"/>
    </row>
    <row r="28" customFormat="false" ht="57.75" hidden="false" customHeight="true" outlineLevel="0" collapsed="false">
      <c r="A28" s="14" t="n">
        <v>3</v>
      </c>
      <c r="B28" s="15" t="s">
        <v>218</v>
      </c>
      <c r="C28" s="16" t="s">
        <v>98</v>
      </c>
      <c r="D28" s="16" t="s">
        <v>219</v>
      </c>
      <c r="E28" s="17" t="n">
        <f aca="false">COUNTA(G28:P28)</f>
        <v>0</v>
      </c>
      <c r="F28" s="18" t="s">
        <v>220</v>
      </c>
      <c r="G28" s="19"/>
      <c r="H28" s="19"/>
      <c r="I28" s="19"/>
      <c r="J28" s="19"/>
      <c r="K28" s="19"/>
      <c r="L28" s="19"/>
      <c r="M28" s="19"/>
      <c r="N28" s="19"/>
      <c r="O28" s="19"/>
      <c r="P28" s="19"/>
    </row>
    <row r="29" customFormat="false" ht="57.75" hidden="false" customHeight="true" outlineLevel="0" collapsed="false">
      <c r="A29" s="14" t="n">
        <v>4</v>
      </c>
      <c r="B29" s="15" t="s">
        <v>221</v>
      </c>
      <c r="C29" s="16" t="s">
        <v>98</v>
      </c>
      <c r="D29" s="16" t="s">
        <v>222</v>
      </c>
      <c r="E29" s="17" t="n">
        <f aca="false">COUNTA(G29:P29)</f>
        <v>0</v>
      </c>
      <c r="F29" s="18" t="s">
        <v>223</v>
      </c>
      <c r="G29" s="19"/>
      <c r="H29" s="19"/>
      <c r="I29" s="19"/>
      <c r="J29" s="19"/>
      <c r="K29" s="19"/>
      <c r="L29" s="19"/>
      <c r="M29" s="19"/>
      <c r="N29" s="19"/>
      <c r="O29" s="19"/>
      <c r="P29" s="19"/>
    </row>
    <row r="30" customFormat="false" ht="57.75" hidden="false" customHeight="true" outlineLevel="0" collapsed="false">
      <c r="A30" s="14" t="n">
        <v>5</v>
      </c>
      <c r="B30" s="15" t="s">
        <v>224</v>
      </c>
      <c r="C30" s="16" t="s">
        <v>98</v>
      </c>
      <c r="D30" s="16" t="s">
        <v>225</v>
      </c>
      <c r="E30" s="17" t="n">
        <f aca="false">COUNTA(G30:P30)</f>
        <v>0</v>
      </c>
      <c r="F30" s="18"/>
      <c r="G30" s="19"/>
      <c r="H30" s="19"/>
      <c r="I30" s="19"/>
      <c r="J30" s="19"/>
      <c r="K30" s="19"/>
      <c r="L30" s="19"/>
      <c r="M30" s="19"/>
      <c r="N30" s="19"/>
      <c r="O30" s="19"/>
      <c r="P30" s="19"/>
    </row>
    <row r="31" customFormat="false" ht="57.75" hidden="false" customHeight="true" outlineLevel="0" collapsed="false">
      <c r="A31" s="14" t="n">
        <v>6</v>
      </c>
      <c r="B31" s="15" t="s">
        <v>226</v>
      </c>
      <c r="C31" s="16" t="s">
        <v>98</v>
      </c>
      <c r="D31" s="16" t="s">
        <v>227</v>
      </c>
      <c r="E31" s="17" t="n">
        <f aca="false">COUNTA(G31:P31)</f>
        <v>0</v>
      </c>
      <c r="F31" s="18" t="s">
        <v>228</v>
      </c>
      <c r="G31" s="19"/>
      <c r="H31" s="19"/>
      <c r="I31" s="19"/>
      <c r="J31" s="19"/>
      <c r="K31" s="19"/>
      <c r="L31" s="19"/>
      <c r="M31" s="19"/>
      <c r="N31" s="19"/>
      <c r="O31" s="19"/>
      <c r="P31" s="19"/>
    </row>
    <row r="32" customFormat="false" ht="57.75" hidden="false" customHeight="true" outlineLevel="0" collapsed="false">
      <c r="A32" s="14" t="n">
        <v>7</v>
      </c>
      <c r="B32" s="15" t="s">
        <v>229</v>
      </c>
      <c r="C32" s="16" t="s">
        <v>98</v>
      </c>
      <c r="D32" s="16" t="s">
        <v>230</v>
      </c>
      <c r="E32" s="17" t="n">
        <f aca="false">COUNTA(G32:P32)</f>
        <v>0</v>
      </c>
      <c r="F32" s="18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3" customFormat="false" ht="57.75" hidden="false" customHeight="true" outlineLevel="0" collapsed="false">
      <c r="A33" s="14" t="n">
        <v>8</v>
      </c>
      <c r="B33" s="15" t="s">
        <v>231</v>
      </c>
      <c r="C33" s="16" t="s">
        <v>98</v>
      </c>
      <c r="D33" s="16" t="s">
        <v>232</v>
      </c>
      <c r="E33" s="17" t="n">
        <f aca="false">COUNTA(G33:P33)</f>
        <v>0</v>
      </c>
      <c r="F33" s="18"/>
      <c r="G33" s="19"/>
      <c r="H33" s="19"/>
      <c r="I33" s="19"/>
      <c r="J33" s="19"/>
      <c r="K33" s="19"/>
      <c r="L33" s="19"/>
      <c r="M33" s="19"/>
      <c r="N33" s="19"/>
      <c r="O33" s="19"/>
      <c r="P33" s="19"/>
    </row>
    <row r="34" customFormat="false" ht="57.75" hidden="false" customHeight="true" outlineLevel="0" collapsed="false">
      <c r="A34" s="14" t="n">
        <v>9</v>
      </c>
      <c r="B34" s="15" t="s">
        <v>233</v>
      </c>
      <c r="C34" s="16" t="s">
        <v>98</v>
      </c>
      <c r="D34" s="16" t="s">
        <v>234</v>
      </c>
      <c r="E34" s="17" t="n">
        <f aca="false">COUNTA(G34:P34)</f>
        <v>0</v>
      </c>
      <c r="F34" s="18" t="s">
        <v>235</v>
      </c>
      <c r="G34" s="19"/>
      <c r="H34" s="19"/>
      <c r="I34" s="19"/>
      <c r="J34" s="19"/>
      <c r="K34" s="19"/>
      <c r="L34" s="19"/>
      <c r="M34" s="19"/>
      <c r="N34" s="19"/>
      <c r="O34" s="19"/>
      <c r="P34" s="19"/>
    </row>
    <row r="35" customFormat="false" ht="57.75" hidden="false" customHeight="true" outlineLevel="0" collapsed="false">
      <c r="A35" s="14" t="n">
        <v>10</v>
      </c>
      <c r="B35" s="15" t="s">
        <v>236</v>
      </c>
      <c r="C35" s="16" t="s">
        <v>98</v>
      </c>
      <c r="D35" s="16" t="s">
        <v>237</v>
      </c>
      <c r="E35" s="17" t="n">
        <f aca="false">COUNTA(G35:P35)</f>
        <v>0</v>
      </c>
      <c r="F35" s="18" t="s">
        <v>238</v>
      </c>
      <c r="G35" s="19"/>
      <c r="H35" s="19"/>
      <c r="I35" s="19"/>
      <c r="J35" s="19"/>
      <c r="K35" s="19"/>
      <c r="L35" s="19"/>
      <c r="M35" s="19"/>
      <c r="N35" s="19"/>
      <c r="O35" s="19"/>
      <c r="P35" s="19"/>
    </row>
    <row r="36" customFormat="false" ht="57.75" hidden="false" customHeight="true" outlineLevel="0" collapsed="false">
      <c r="A36" s="14" t="n">
        <v>11</v>
      </c>
      <c r="B36" s="15" t="s">
        <v>239</v>
      </c>
      <c r="C36" s="16" t="s">
        <v>98</v>
      </c>
      <c r="D36" s="16" t="s">
        <v>240</v>
      </c>
      <c r="E36" s="17" t="n">
        <f aca="false">COUNTA(G36:P36)</f>
        <v>0</v>
      </c>
      <c r="F36" s="18" t="s">
        <v>241</v>
      </c>
      <c r="G36" s="19"/>
      <c r="H36" s="19"/>
      <c r="I36" s="19"/>
      <c r="J36" s="19"/>
      <c r="K36" s="19"/>
      <c r="L36" s="19"/>
      <c r="M36" s="19"/>
      <c r="N36" s="19"/>
      <c r="O36" s="19"/>
      <c r="P36" s="19"/>
    </row>
    <row r="37" customFormat="false" ht="57.75" hidden="false" customHeight="true" outlineLevel="0" collapsed="false">
      <c r="A37" s="14" t="n">
        <v>12</v>
      </c>
      <c r="B37" s="15" t="s">
        <v>242</v>
      </c>
      <c r="C37" s="16" t="s">
        <v>98</v>
      </c>
      <c r="D37" s="16" t="s">
        <v>243</v>
      </c>
      <c r="E37" s="17" t="n">
        <f aca="false">COUNTA(G37:P37)</f>
        <v>0</v>
      </c>
      <c r="F37" s="18"/>
      <c r="G37" s="19"/>
      <c r="H37" s="19"/>
      <c r="I37" s="19"/>
      <c r="J37" s="19"/>
      <c r="K37" s="19"/>
      <c r="L37" s="19"/>
      <c r="M37" s="19"/>
      <c r="N37" s="19"/>
      <c r="O37" s="19"/>
      <c r="P37" s="19"/>
    </row>
    <row r="38" customFormat="false" ht="57.75" hidden="false" customHeight="true" outlineLevel="0" collapsed="false">
      <c r="A38" s="14" t="n">
        <v>13</v>
      </c>
      <c r="B38" s="15" t="s">
        <v>244</v>
      </c>
      <c r="C38" s="16" t="s">
        <v>98</v>
      </c>
      <c r="D38" s="16" t="s">
        <v>245</v>
      </c>
      <c r="E38" s="17" t="n">
        <f aca="false">COUNTA(G38:P38)</f>
        <v>0</v>
      </c>
      <c r="F38" s="18"/>
      <c r="G38" s="19"/>
      <c r="H38" s="19"/>
      <c r="I38" s="19"/>
      <c r="J38" s="19"/>
      <c r="K38" s="19"/>
      <c r="L38" s="19"/>
      <c r="M38" s="19"/>
      <c r="N38" s="19"/>
      <c r="O38" s="19"/>
      <c r="P38" s="19"/>
    </row>
    <row r="39" customFormat="false" ht="57.75" hidden="false" customHeight="true" outlineLevel="0" collapsed="false">
      <c r="A39" s="14" t="s">
        <v>143</v>
      </c>
      <c r="B39" s="15" t="s">
        <v>144</v>
      </c>
      <c r="C39" s="16" t="s">
        <v>98</v>
      </c>
      <c r="D39" s="16" t="s">
        <v>145</v>
      </c>
      <c r="E39" s="17" t="n">
        <f aca="false">COUNTA(G39:P39)</f>
        <v>0</v>
      </c>
      <c r="F39" s="18"/>
      <c r="G39" s="19"/>
      <c r="H39" s="19"/>
      <c r="I39" s="19"/>
      <c r="J39" s="19"/>
      <c r="K39" s="19"/>
      <c r="L39" s="19"/>
      <c r="M39" s="19"/>
      <c r="N39" s="19"/>
      <c r="O39" s="19"/>
      <c r="P39" s="19"/>
    </row>
    <row r="40" customFormat="false" ht="24" hidden="false" customHeight="true" outlineLevel="0" collapsed="false">
      <c r="A40" s="12"/>
      <c r="B40" s="13" t="s">
        <v>146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customFormat="false" ht="19.5" hidden="false" customHeight="true" outlineLevel="0" collapsed="false">
      <c r="A41" s="14"/>
      <c r="B41" s="15" t="s">
        <v>246</v>
      </c>
      <c r="C41" s="16" t="s">
        <v>43</v>
      </c>
      <c r="D41" s="16" t="s">
        <v>247</v>
      </c>
      <c r="E41" s="17" t="n">
        <f aca="false">COUNTA(G41:P41)</f>
        <v>0</v>
      </c>
      <c r="F41" s="18" t="s">
        <v>248</v>
      </c>
      <c r="G41" s="19"/>
      <c r="H41" s="19"/>
      <c r="I41" s="19"/>
      <c r="J41" s="19"/>
      <c r="K41" s="19"/>
      <c r="L41" s="19"/>
      <c r="M41" s="19"/>
      <c r="N41" s="19"/>
      <c r="O41" s="19"/>
      <c r="P41" s="19"/>
    </row>
    <row r="42" customFormat="false" ht="45" hidden="false" customHeight="true" outlineLevel="0" collapsed="false">
      <c r="A42" s="14"/>
      <c r="B42" s="15" t="s">
        <v>249</v>
      </c>
      <c r="C42" s="16" t="s">
        <v>66</v>
      </c>
      <c r="D42" s="16" t="s">
        <v>250</v>
      </c>
      <c r="E42" s="17" t="n">
        <f aca="false">COUNTA(G42:P42)</f>
        <v>0</v>
      </c>
      <c r="F42" s="18" t="s">
        <v>251</v>
      </c>
      <c r="G42" s="19"/>
      <c r="H42" s="19"/>
      <c r="I42" s="19"/>
      <c r="J42" s="19"/>
      <c r="K42" s="19"/>
      <c r="L42" s="19"/>
      <c r="M42" s="19"/>
      <c r="N42" s="19"/>
      <c r="O42" s="19"/>
      <c r="P42" s="19"/>
    </row>
    <row r="43" customFormat="false" ht="31.5" hidden="false" customHeight="true" outlineLevel="0" collapsed="false">
      <c r="A43" s="14"/>
      <c r="B43" s="15" t="s">
        <v>252</v>
      </c>
      <c r="C43" s="16" t="s">
        <v>39</v>
      </c>
      <c r="D43" s="16" t="s">
        <v>253</v>
      </c>
      <c r="E43" s="17" t="n">
        <f aca="false">COUNTA(G43:P43)</f>
        <v>0</v>
      </c>
      <c r="F43" s="18" t="s">
        <v>254</v>
      </c>
      <c r="G43" s="19"/>
      <c r="H43" s="19"/>
      <c r="I43" s="19"/>
      <c r="J43" s="19"/>
      <c r="K43" s="19"/>
      <c r="L43" s="19"/>
      <c r="M43" s="19"/>
      <c r="N43" s="19"/>
      <c r="O43" s="19"/>
      <c r="P43" s="19"/>
    </row>
    <row r="44" customFormat="false" ht="19.5" hidden="false" customHeight="true" outlineLevel="0" collapsed="false">
      <c r="A44" s="14"/>
      <c r="B44" s="15" t="s">
        <v>255</v>
      </c>
      <c r="C44" s="16" t="s">
        <v>93</v>
      </c>
      <c r="D44" s="16" t="s">
        <v>256</v>
      </c>
      <c r="E44" s="17" t="n">
        <f aca="false">COUNTA(G44:P44)</f>
        <v>0</v>
      </c>
      <c r="F44" s="18"/>
      <c r="G44" s="20"/>
      <c r="H44" s="20"/>
      <c r="I44" s="20"/>
      <c r="J44" s="20"/>
      <c r="K44" s="20"/>
      <c r="L44" s="20"/>
      <c r="M44" s="20"/>
      <c r="N44" s="20"/>
      <c r="O44" s="20"/>
      <c r="P44" s="20"/>
    </row>
    <row r="45" customFormat="false" ht="57.75" hidden="false" customHeight="true" outlineLevel="0" collapsed="false">
      <c r="A45" s="14"/>
      <c r="B45" s="15" t="s">
        <v>257</v>
      </c>
      <c r="C45" s="16" t="s">
        <v>151</v>
      </c>
      <c r="D45" s="16" t="s">
        <v>258</v>
      </c>
      <c r="E45" s="17" t="n">
        <f aca="false">COUNTA(G45:P45)</f>
        <v>0</v>
      </c>
      <c r="F45" s="18" t="s">
        <v>259</v>
      </c>
      <c r="G45" s="19"/>
      <c r="H45" s="19"/>
      <c r="I45" s="19"/>
      <c r="J45" s="19"/>
      <c r="K45" s="19"/>
      <c r="L45" s="19"/>
      <c r="M45" s="19"/>
      <c r="N45" s="19"/>
      <c r="O45" s="19"/>
      <c r="P45" s="19"/>
    </row>
  </sheetData>
  <mergeCells count="3">
    <mergeCell ref="A1:B1"/>
    <mergeCell ref="A2:B2"/>
    <mergeCell ref="A3:B3"/>
  </mergeCells>
  <dataValidations count="8">
    <dataValidation allowBlank="true" errorStyle="stop" operator="between" showDropDown="false" showErrorMessage="false" showInputMessage="false" sqref="G10:P10" type="list">
      <formula1>Списки!$K$1:$K$5</formula1>
      <formula2>0</formula2>
    </dataValidation>
    <dataValidation allowBlank="true" errorStyle="stop" operator="between" showDropDown="false" showErrorMessage="false" showInputMessage="false" sqref="G11:P11" type="list">
      <formula1>Списки!$L$1:$L$3</formula1>
      <formula2>0</formula2>
    </dataValidation>
    <dataValidation allowBlank="true" errorStyle="stop" operator="between" showDropDown="false" showErrorMessage="false" showInputMessage="false" sqref="G13:P13" type="list">
      <formula1>Списки!$M$1:$M$4</formula1>
      <formula2>0</formula2>
    </dataValidation>
    <dataValidation allowBlank="true" errorStyle="stop" operator="between" showDropDown="false" showErrorMessage="false" showInputMessage="false" sqref="G15:P15" type="list">
      <formula1>Списки!$N$1:$N$4</formula1>
      <formula2>0</formula2>
    </dataValidation>
    <dataValidation allowBlank="true" errorStyle="stop" operator="between" showDropDown="false" showErrorMessage="false" showInputMessage="false" sqref="G16:P16" type="list">
      <formula1>Списки!$O$1:$O$3</formula1>
      <formula2>0</formula2>
    </dataValidation>
    <dataValidation allowBlank="true" errorStyle="stop" operator="between" showDropDown="false" showErrorMessage="false" showInputMessage="false" sqref="G17:P17" type="list">
      <formula1>Списки!$P$1:$P$5</formula1>
      <formula2>0</formula2>
    </dataValidation>
    <dataValidation allowBlank="true" errorStyle="stop" operator="between" showDropDown="false" showErrorMessage="false" showInputMessage="false" sqref="G20:P20" type="list">
      <formula1>Списки!$Q$1:$Q$5</formula1>
      <formula2>0</formula2>
    </dataValidation>
    <dataValidation allowBlank="true" errorStyle="stop" operator="between" showDropDown="false" showErrorMessage="false" showInputMessage="false" sqref="G41:P41" type="list">
      <formula1>Списки!$R$1:$R$3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734F"/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17"/>
    <col collapsed="false" customWidth="true" hidden="false" outlineLevel="0" max="4" min="4" style="0" width="42"/>
    <col collapsed="false" customWidth="true" hidden="false" outlineLevel="0" max="5" min="5" style="0" width="10"/>
    <col collapsed="false" customWidth="true" hidden="false" outlineLevel="0" max="16" min="6" style="0" width="30"/>
  </cols>
  <sheetData>
    <row r="1" customFormat="false" ht="25.5" hidden="false" customHeight="true" outlineLevel="0" collapsed="false">
      <c r="A1" s="10" t="s">
        <v>260</v>
      </c>
      <c r="B1" s="10"/>
    </row>
    <row r="2" customFormat="false" ht="43.5" hidden="false" customHeight="true" outlineLevel="0" collapsed="false">
      <c r="A2" s="11" t="s">
        <v>261</v>
      </c>
      <c r="B2" s="11"/>
    </row>
    <row r="3" customFormat="false" ht="31.5" hidden="false" customHeight="true" outlineLevel="0" collapsed="false">
      <c r="A3" s="11" t="s">
        <v>32</v>
      </c>
      <c r="B3" s="11"/>
    </row>
    <row r="4" customFormat="false" ht="30" hidden="false" customHeight="true" outlineLevel="0" collapsed="false">
      <c r="A4" s="5" t="s">
        <v>33</v>
      </c>
      <c r="B4" s="5" t="s">
        <v>34</v>
      </c>
      <c r="C4" s="5" t="s">
        <v>35</v>
      </c>
      <c r="D4" s="5" t="s">
        <v>36</v>
      </c>
      <c r="E4" s="5" t="s">
        <v>11</v>
      </c>
      <c r="F4" s="5" t="s">
        <v>9</v>
      </c>
      <c r="G4" s="5" t="str">
        <f aca="false">IF(G$6="","Человек 1",G$6)</f>
        <v>Человек 1</v>
      </c>
      <c r="H4" s="5" t="str">
        <f aca="false">IF(H$6="","Человек 2",H$6)</f>
        <v>Человек 2</v>
      </c>
      <c r="I4" s="5" t="str">
        <f aca="false">IF(I$6="","Человек 3",I$6)</f>
        <v>Человек 3</v>
      </c>
      <c r="J4" s="5" t="str">
        <f aca="false">IF(J$6="","Человек 4",J$6)</f>
        <v>Человек 4</v>
      </c>
      <c r="K4" s="5" t="str">
        <f aca="false">IF(K$6="","Человек 5",K$6)</f>
        <v>Человек 5</v>
      </c>
      <c r="L4" s="5" t="str">
        <f aca="false">IF(L$6="","Человек 6",L$6)</f>
        <v>Человек 6</v>
      </c>
      <c r="M4" s="5" t="str">
        <f aca="false">IF(M$6="","Человек 7",M$6)</f>
        <v>Человек 7</v>
      </c>
      <c r="N4" s="5" t="str">
        <f aca="false">IF(N$6="","Человек 8",N$6)</f>
        <v>Человек 8</v>
      </c>
      <c r="O4" s="5" t="str">
        <f aca="false">IF(O$6="","Человек 9",O$6)</f>
        <v>Человек 9</v>
      </c>
      <c r="P4" s="5" t="str">
        <f aca="false">IF(P$6="","Человек 10",P$6)</f>
        <v>Человек 10</v>
      </c>
    </row>
    <row r="5" customFormat="false" ht="24" hidden="false" customHeight="true" outlineLevel="0" collapsed="false">
      <c r="A5" s="12"/>
      <c r="B5" s="13" t="s">
        <v>37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customFormat="false" ht="19.5" hidden="false" customHeight="true" outlineLevel="0" collapsed="false">
      <c r="A6" s="14" t="n">
        <v>1</v>
      </c>
      <c r="B6" s="15" t="s">
        <v>262</v>
      </c>
      <c r="C6" s="16" t="s">
        <v>39</v>
      </c>
      <c r="D6" s="16" t="s">
        <v>263</v>
      </c>
      <c r="E6" s="17" t="n">
        <f aca="false">COUNTA(G6:P6)</f>
        <v>0</v>
      </c>
      <c r="F6" s="18" t="s">
        <v>264</v>
      </c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96.75" hidden="false" customHeight="true" outlineLevel="0" collapsed="false">
      <c r="A7" s="14" t="n">
        <v>2</v>
      </c>
      <c r="B7" s="15" t="s">
        <v>265</v>
      </c>
      <c r="C7" s="16" t="s">
        <v>43</v>
      </c>
      <c r="D7" s="16" t="s">
        <v>29</v>
      </c>
      <c r="E7" s="17" t="n">
        <f aca="false">COUNTA(G7:P7)</f>
        <v>0</v>
      </c>
      <c r="F7" s="18" t="s">
        <v>266</v>
      </c>
      <c r="G7" s="19"/>
      <c r="H7" s="19"/>
      <c r="I7" s="19"/>
      <c r="J7" s="19"/>
      <c r="K7" s="19"/>
      <c r="L7" s="19"/>
      <c r="M7" s="19"/>
      <c r="N7" s="19"/>
      <c r="O7" s="19"/>
      <c r="P7" s="19"/>
    </row>
    <row r="8" customFormat="false" ht="19.5" hidden="false" customHeight="true" outlineLevel="0" collapsed="false">
      <c r="A8" s="14" t="n">
        <v>3</v>
      </c>
      <c r="B8" s="15" t="s">
        <v>267</v>
      </c>
      <c r="C8" s="16" t="s">
        <v>39</v>
      </c>
      <c r="D8" s="16" t="s">
        <v>166</v>
      </c>
      <c r="E8" s="17" t="n">
        <f aca="false">COUNTA(G8:P8)</f>
        <v>0</v>
      </c>
      <c r="F8" s="18" t="s">
        <v>167</v>
      </c>
      <c r="G8" s="19"/>
      <c r="H8" s="19"/>
      <c r="I8" s="19"/>
      <c r="J8" s="19"/>
      <c r="K8" s="19"/>
      <c r="L8" s="19"/>
      <c r="M8" s="19"/>
      <c r="N8" s="19"/>
      <c r="O8" s="19"/>
      <c r="P8" s="19"/>
    </row>
    <row r="9" customFormat="false" ht="19.5" hidden="false" customHeight="true" outlineLevel="0" collapsed="false">
      <c r="A9" s="14" t="n">
        <v>4</v>
      </c>
      <c r="B9" s="15" t="s">
        <v>268</v>
      </c>
      <c r="C9" s="16" t="s">
        <v>39</v>
      </c>
      <c r="D9" s="16" t="s">
        <v>269</v>
      </c>
      <c r="E9" s="17" t="n">
        <f aca="false">COUNTA(G9:P9)</f>
        <v>0</v>
      </c>
      <c r="F9" s="18" t="s">
        <v>270</v>
      </c>
      <c r="G9" s="19"/>
      <c r="H9" s="19"/>
      <c r="I9" s="19"/>
      <c r="J9" s="19"/>
      <c r="K9" s="19"/>
      <c r="L9" s="19"/>
      <c r="M9" s="19"/>
      <c r="N9" s="19"/>
      <c r="O9" s="19"/>
      <c r="P9" s="19"/>
    </row>
    <row r="10" customFormat="false" ht="19.5" hidden="false" customHeight="true" outlineLevel="0" collapsed="false">
      <c r="A10" s="14" t="n">
        <v>5</v>
      </c>
      <c r="B10" s="15" t="s">
        <v>271</v>
      </c>
      <c r="C10" s="16" t="s">
        <v>39</v>
      </c>
      <c r="D10" s="16" t="s">
        <v>272</v>
      </c>
      <c r="E10" s="17" t="n">
        <f aca="false">COUNTA(G10:P10)</f>
        <v>0</v>
      </c>
      <c r="F10" s="18" t="s">
        <v>273</v>
      </c>
      <c r="G10" s="19"/>
      <c r="H10" s="19"/>
      <c r="I10" s="19"/>
      <c r="J10" s="19"/>
      <c r="K10" s="19"/>
      <c r="L10" s="19"/>
      <c r="M10" s="19"/>
      <c r="N10" s="19"/>
      <c r="O10" s="19"/>
      <c r="P10" s="19"/>
    </row>
    <row r="11" customFormat="false" ht="19.5" hidden="false" customHeight="true" outlineLevel="0" collapsed="false">
      <c r="A11" s="14" t="n">
        <v>6</v>
      </c>
      <c r="B11" s="15" t="s">
        <v>274</v>
      </c>
      <c r="C11" s="16" t="s">
        <v>43</v>
      </c>
      <c r="D11" s="16" t="s">
        <v>275</v>
      </c>
      <c r="E11" s="17" t="n">
        <f aca="false">COUNTA(G11:P11)</f>
        <v>0</v>
      </c>
      <c r="F11" s="18" t="s">
        <v>276</v>
      </c>
      <c r="G11" s="19"/>
      <c r="H11" s="19"/>
      <c r="I11" s="19"/>
      <c r="J11" s="19"/>
      <c r="K11" s="19"/>
      <c r="L11" s="19"/>
      <c r="M11" s="19"/>
      <c r="N11" s="19"/>
      <c r="O11" s="19"/>
      <c r="P11" s="19"/>
    </row>
    <row r="12" customFormat="false" ht="19.5" hidden="false" customHeight="true" outlineLevel="0" collapsed="false">
      <c r="A12" s="14" t="n">
        <v>7</v>
      </c>
      <c r="B12" s="15" t="s">
        <v>277</v>
      </c>
      <c r="C12" s="16" t="s">
        <v>66</v>
      </c>
      <c r="D12" s="16" t="s">
        <v>44</v>
      </c>
      <c r="E12" s="17" t="n">
        <f aca="false">COUNTA(G12:P12)</f>
        <v>0</v>
      </c>
      <c r="F12" s="18" t="s">
        <v>278</v>
      </c>
      <c r="G12" s="19"/>
      <c r="H12" s="19"/>
      <c r="I12" s="19"/>
      <c r="J12" s="19"/>
      <c r="K12" s="19"/>
      <c r="L12" s="19"/>
      <c r="M12" s="19"/>
      <c r="N12" s="19"/>
      <c r="O12" s="19"/>
      <c r="P12" s="19"/>
    </row>
    <row r="13" customFormat="false" ht="70.5" hidden="false" customHeight="true" outlineLevel="0" collapsed="false">
      <c r="A13" s="14" t="n">
        <v>8</v>
      </c>
      <c r="B13" s="15" t="s">
        <v>279</v>
      </c>
      <c r="C13" s="16" t="s">
        <v>66</v>
      </c>
      <c r="D13" s="16" t="s">
        <v>280</v>
      </c>
      <c r="E13" s="17" t="n">
        <f aca="false">COUNTA(G13:P13)</f>
        <v>0</v>
      </c>
      <c r="F13" s="18" t="s">
        <v>281</v>
      </c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31.5" hidden="false" customHeight="true" outlineLevel="0" collapsed="false">
      <c r="A14" s="14" t="n">
        <v>9</v>
      </c>
      <c r="B14" s="15" t="s">
        <v>282</v>
      </c>
      <c r="C14" s="16" t="s">
        <v>66</v>
      </c>
      <c r="D14" s="16" t="s">
        <v>283</v>
      </c>
      <c r="E14" s="17" t="n">
        <f aca="false">COUNTA(G14:P14)</f>
        <v>0</v>
      </c>
      <c r="F14" s="18" t="s">
        <v>284</v>
      </c>
      <c r="G14" s="19"/>
      <c r="H14" s="19"/>
      <c r="I14" s="19"/>
      <c r="J14" s="19"/>
      <c r="K14" s="19"/>
      <c r="L14" s="19"/>
      <c r="M14" s="19"/>
      <c r="N14" s="19"/>
      <c r="O14" s="19"/>
      <c r="P14" s="19"/>
    </row>
    <row r="15" customFormat="false" ht="31.5" hidden="false" customHeight="true" outlineLevel="0" collapsed="false">
      <c r="A15" s="14" t="n">
        <v>10</v>
      </c>
      <c r="B15" s="15" t="s">
        <v>285</v>
      </c>
      <c r="C15" s="16" t="s">
        <v>66</v>
      </c>
      <c r="D15" s="16" t="s">
        <v>286</v>
      </c>
      <c r="E15" s="17" t="n">
        <f aca="false">COUNTA(G15:P15)</f>
        <v>0</v>
      </c>
      <c r="F15" s="18" t="s">
        <v>287</v>
      </c>
      <c r="G15" s="19"/>
      <c r="H15" s="19"/>
      <c r="I15" s="19"/>
      <c r="J15" s="19"/>
      <c r="K15" s="19"/>
      <c r="L15" s="19"/>
      <c r="M15" s="19"/>
      <c r="N15" s="19"/>
      <c r="O15" s="19"/>
      <c r="P15" s="19"/>
    </row>
    <row r="16" customFormat="false" ht="31.5" hidden="false" customHeight="true" outlineLevel="0" collapsed="false">
      <c r="A16" s="14" t="n">
        <v>11</v>
      </c>
      <c r="B16" s="15" t="s">
        <v>288</v>
      </c>
      <c r="C16" s="16" t="s">
        <v>43</v>
      </c>
      <c r="D16" s="16" t="s">
        <v>289</v>
      </c>
      <c r="E16" s="17" t="n">
        <f aca="false">COUNTA(G16:P16)</f>
        <v>0</v>
      </c>
      <c r="F16" s="18" t="s">
        <v>290</v>
      </c>
      <c r="G16" s="19"/>
      <c r="H16" s="19"/>
      <c r="I16" s="19"/>
      <c r="J16" s="19"/>
      <c r="K16" s="19"/>
      <c r="L16" s="19"/>
      <c r="M16" s="19"/>
      <c r="N16" s="19"/>
      <c r="O16" s="19"/>
      <c r="P16" s="19"/>
    </row>
    <row r="17" customFormat="false" ht="31.5" hidden="false" customHeight="true" outlineLevel="0" collapsed="false">
      <c r="A17" s="14" t="n">
        <v>12</v>
      </c>
      <c r="B17" s="15" t="s">
        <v>291</v>
      </c>
      <c r="C17" s="16" t="s">
        <v>43</v>
      </c>
      <c r="D17" s="16" t="s">
        <v>292</v>
      </c>
      <c r="E17" s="17" t="n">
        <f aca="false">COUNTA(G17:P17)</f>
        <v>0</v>
      </c>
      <c r="F17" s="18" t="s">
        <v>293</v>
      </c>
      <c r="G17" s="19"/>
      <c r="H17" s="19"/>
      <c r="I17" s="19"/>
      <c r="J17" s="19"/>
      <c r="K17" s="19"/>
      <c r="L17" s="19"/>
      <c r="M17" s="19"/>
      <c r="N17" s="19"/>
      <c r="O17" s="19"/>
      <c r="P17" s="19"/>
    </row>
    <row r="18" customFormat="false" ht="19.5" hidden="false" customHeight="true" outlineLevel="0" collapsed="false">
      <c r="A18" s="14" t="n">
        <v>13</v>
      </c>
      <c r="B18" s="15" t="s">
        <v>294</v>
      </c>
      <c r="C18" s="16" t="s">
        <v>39</v>
      </c>
      <c r="D18" s="16" t="s">
        <v>89</v>
      </c>
      <c r="E18" s="17" t="n">
        <f aca="false">COUNTA(G18:P18)</f>
        <v>0</v>
      </c>
      <c r="F18" s="18" t="s">
        <v>295</v>
      </c>
      <c r="G18" s="19"/>
      <c r="H18" s="19"/>
      <c r="I18" s="19"/>
      <c r="J18" s="19"/>
      <c r="K18" s="19"/>
      <c r="L18" s="19"/>
      <c r="M18" s="19"/>
      <c r="N18" s="19"/>
      <c r="O18" s="19"/>
      <c r="P18" s="19"/>
    </row>
    <row r="19" customFormat="false" ht="24" hidden="false" customHeight="true" outlineLevel="0" collapsed="false">
      <c r="A19" s="12"/>
      <c r="B19" s="13" t="s">
        <v>296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customFormat="false" ht="19.5" hidden="false" customHeight="true" outlineLevel="0" collapsed="false">
      <c r="A20" s="14"/>
      <c r="B20" s="15" t="s">
        <v>92</v>
      </c>
      <c r="C20" s="16" t="s">
        <v>93</v>
      </c>
      <c r="D20" s="16" t="s">
        <v>94</v>
      </c>
      <c r="E20" s="17" t="n">
        <f aca="false">COUNTA(G20:P20)</f>
        <v>0</v>
      </c>
      <c r="F20" s="18"/>
      <c r="G20" s="20"/>
      <c r="H20" s="20"/>
      <c r="I20" s="20"/>
      <c r="J20" s="20"/>
      <c r="K20" s="20"/>
      <c r="L20" s="20"/>
      <c r="M20" s="20"/>
      <c r="N20" s="20"/>
      <c r="O20" s="20"/>
      <c r="P20" s="20"/>
    </row>
    <row r="21" customFormat="false" ht="19.5" hidden="false" customHeight="true" outlineLevel="0" collapsed="false">
      <c r="A21" s="14"/>
      <c r="B21" s="15" t="s">
        <v>95</v>
      </c>
      <c r="C21" s="16" t="s">
        <v>39</v>
      </c>
      <c r="D21" s="16" t="s">
        <v>96</v>
      </c>
      <c r="E21" s="17" t="n">
        <f aca="false">COUNTA(G21:P21)</f>
        <v>0</v>
      </c>
      <c r="F21" s="18"/>
      <c r="G21" s="19"/>
      <c r="H21" s="19"/>
      <c r="I21" s="19"/>
      <c r="J21" s="19"/>
      <c r="K21" s="19"/>
      <c r="L21" s="19"/>
      <c r="M21" s="19"/>
      <c r="N21" s="19"/>
      <c r="O21" s="19"/>
      <c r="P21" s="19"/>
    </row>
    <row r="22" customFormat="false" ht="57.75" hidden="false" customHeight="true" outlineLevel="0" collapsed="false">
      <c r="A22" s="14" t="n">
        <v>1</v>
      </c>
      <c r="B22" s="15" t="s">
        <v>297</v>
      </c>
      <c r="C22" s="16" t="s">
        <v>98</v>
      </c>
      <c r="D22" s="16" t="s">
        <v>298</v>
      </c>
      <c r="E22" s="17" t="n">
        <f aca="false">COUNTA(G22:P22)</f>
        <v>0</v>
      </c>
      <c r="F22" s="18"/>
      <c r="G22" s="19"/>
      <c r="H22" s="19"/>
      <c r="I22" s="19"/>
      <c r="J22" s="19"/>
      <c r="K22" s="19"/>
      <c r="L22" s="19"/>
      <c r="M22" s="19"/>
      <c r="N22" s="19"/>
      <c r="O22" s="19"/>
      <c r="P22" s="19"/>
    </row>
    <row r="23" customFormat="false" ht="57.75" hidden="false" customHeight="true" outlineLevel="0" collapsed="false">
      <c r="A23" s="14" t="n">
        <v>2</v>
      </c>
      <c r="B23" s="15" t="s">
        <v>299</v>
      </c>
      <c r="C23" s="16" t="s">
        <v>98</v>
      </c>
      <c r="D23" s="16" t="s">
        <v>300</v>
      </c>
      <c r="E23" s="17" t="n">
        <f aca="false">COUNTA(G23:P23)</f>
        <v>0</v>
      </c>
      <c r="F23" s="18"/>
      <c r="G23" s="19"/>
      <c r="H23" s="19"/>
      <c r="I23" s="19"/>
      <c r="J23" s="19"/>
      <c r="K23" s="19"/>
      <c r="L23" s="19"/>
      <c r="M23" s="19"/>
      <c r="N23" s="19"/>
      <c r="O23" s="19"/>
      <c r="P23" s="19"/>
    </row>
    <row r="24" customFormat="false" ht="57.75" hidden="false" customHeight="true" outlineLevel="0" collapsed="false">
      <c r="A24" s="14" t="n">
        <v>3</v>
      </c>
      <c r="B24" s="15" t="s">
        <v>301</v>
      </c>
      <c r="C24" s="16" t="s">
        <v>98</v>
      </c>
      <c r="D24" s="16" t="s">
        <v>302</v>
      </c>
      <c r="E24" s="17" t="n">
        <f aca="false">COUNTA(G24:P24)</f>
        <v>0</v>
      </c>
      <c r="F24" s="18"/>
      <c r="G24" s="19"/>
      <c r="H24" s="19"/>
      <c r="I24" s="19"/>
      <c r="J24" s="19"/>
      <c r="K24" s="19"/>
      <c r="L24" s="19"/>
      <c r="M24" s="19"/>
      <c r="N24" s="19"/>
      <c r="O24" s="19"/>
      <c r="P24" s="19"/>
    </row>
    <row r="25" customFormat="false" ht="57.75" hidden="false" customHeight="true" outlineLevel="0" collapsed="false">
      <c r="A25" s="14" t="n">
        <v>4</v>
      </c>
      <c r="B25" s="15" t="s">
        <v>303</v>
      </c>
      <c r="C25" s="16" t="s">
        <v>98</v>
      </c>
      <c r="D25" s="16" t="s">
        <v>304</v>
      </c>
      <c r="E25" s="17" t="n">
        <f aca="false">COUNTA(G25:P25)</f>
        <v>0</v>
      </c>
      <c r="F25" s="18"/>
      <c r="G25" s="19"/>
      <c r="H25" s="19"/>
      <c r="I25" s="19"/>
      <c r="J25" s="19"/>
      <c r="K25" s="19"/>
      <c r="L25" s="19"/>
      <c r="M25" s="19"/>
      <c r="N25" s="19"/>
      <c r="O25" s="19"/>
      <c r="P25" s="19"/>
    </row>
    <row r="26" customFormat="false" ht="57.75" hidden="false" customHeight="true" outlineLevel="0" collapsed="false">
      <c r="A26" s="14" t="n">
        <v>5</v>
      </c>
      <c r="B26" s="15" t="s">
        <v>305</v>
      </c>
      <c r="C26" s="16" t="s">
        <v>98</v>
      </c>
      <c r="D26" s="16" t="s">
        <v>306</v>
      </c>
      <c r="E26" s="17" t="n">
        <f aca="false">COUNTA(G26:P26)</f>
        <v>0</v>
      </c>
      <c r="F26" s="18"/>
      <c r="G26" s="19"/>
      <c r="H26" s="19"/>
      <c r="I26" s="19"/>
      <c r="J26" s="19"/>
      <c r="K26" s="19"/>
      <c r="L26" s="19"/>
      <c r="M26" s="19"/>
      <c r="N26" s="19"/>
      <c r="O26" s="19"/>
      <c r="P26" s="19"/>
    </row>
    <row r="27" customFormat="false" ht="57.75" hidden="false" customHeight="true" outlineLevel="0" collapsed="false">
      <c r="A27" s="14" t="n">
        <v>6</v>
      </c>
      <c r="B27" s="15" t="s">
        <v>307</v>
      </c>
      <c r="C27" s="16" t="s">
        <v>98</v>
      </c>
      <c r="D27" s="16" t="s">
        <v>308</v>
      </c>
      <c r="E27" s="17" t="n">
        <f aca="false">COUNTA(G27:P27)</f>
        <v>0</v>
      </c>
      <c r="F27" s="18"/>
      <c r="G27" s="19"/>
      <c r="H27" s="19"/>
      <c r="I27" s="19"/>
      <c r="J27" s="19"/>
      <c r="K27" s="19"/>
      <c r="L27" s="19"/>
      <c r="M27" s="19"/>
      <c r="N27" s="19"/>
      <c r="O27" s="19"/>
      <c r="P27" s="19"/>
    </row>
    <row r="28" customFormat="false" ht="57.75" hidden="false" customHeight="true" outlineLevel="0" collapsed="false">
      <c r="A28" s="14" t="n">
        <v>7</v>
      </c>
      <c r="B28" s="15" t="s">
        <v>309</v>
      </c>
      <c r="C28" s="16" t="s">
        <v>98</v>
      </c>
      <c r="D28" s="16" t="s">
        <v>310</v>
      </c>
      <c r="E28" s="17" t="n">
        <f aca="false">COUNTA(G28:P28)</f>
        <v>0</v>
      </c>
      <c r="F28" s="18"/>
      <c r="G28" s="19"/>
      <c r="H28" s="19"/>
      <c r="I28" s="19"/>
      <c r="J28" s="19"/>
      <c r="K28" s="19"/>
      <c r="L28" s="19"/>
      <c r="M28" s="19"/>
      <c r="N28" s="19"/>
      <c r="O28" s="19"/>
      <c r="P28" s="19"/>
    </row>
    <row r="29" customFormat="false" ht="57.75" hidden="false" customHeight="true" outlineLevel="0" collapsed="false">
      <c r="A29" s="14" t="n">
        <v>8</v>
      </c>
      <c r="B29" s="15" t="s">
        <v>311</v>
      </c>
      <c r="C29" s="16" t="s">
        <v>98</v>
      </c>
      <c r="D29" s="16" t="s">
        <v>312</v>
      </c>
      <c r="E29" s="17" t="n">
        <f aca="false">COUNTA(G29:P29)</f>
        <v>0</v>
      </c>
      <c r="F29" s="18"/>
      <c r="G29" s="19"/>
      <c r="H29" s="19"/>
      <c r="I29" s="19"/>
      <c r="J29" s="19"/>
      <c r="K29" s="19"/>
      <c r="L29" s="19"/>
      <c r="M29" s="19"/>
      <c r="N29" s="19"/>
      <c r="O29" s="19"/>
      <c r="P29" s="19"/>
    </row>
    <row r="30" customFormat="false" ht="57.75" hidden="false" customHeight="true" outlineLevel="0" collapsed="false">
      <c r="A30" s="14" t="n">
        <v>9</v>
      </c>
      <c r="B30" s="15" t="s">
        <v>313</v>
      </c>
      <c r="C30" s="16" t="s">
        <v>98</v>
      </c>
      <c r="D30" s="16" t="s">
        <v>314</v>
      </c>
      <c r="E30" s="17" t="n">
        <f aca="false">COUNTA(G30:P30)</f>
        <v>0</v>
      </c>
      <c r="F30" s="18"/>
      <c r="G30" s="19"/>
      <c r="H30" s="19"/>
      <c r="I30" s="19"/>
      <c r="J30" s="19"/>
      <c r="K30" s="19"/>
      <c r="L30" s="19"/>
      <c r="M30" s="19"/>
      <c r="N30" s="19"/>
      <c r="O30" s="19"/>
      <c r="P30" s="19"/>
    </row>
    <row r="31" customFormat="false" ht="57.75" hidden="false" customHeight="true" outlineLevel="0" collapsed="false">
      <c r="A31" s="14" t="n">
        <v>10</v>
      </c>
      <c r="B31" s="15" t="s">
        <v>315</v>
      </c>
      <c r="C31" s="16" t="s">
        <v>98</v>
      </c>
      <c r="D31" s="16" t="s">
        <v>316</v>
      </c>
      <c r="E31" s="17" t="n">
        <f aca="false">COUNTA(G31:P31)</f>
        <v>0</v>
      </c>
      <c r="F31" s="18"/>
      <c r="G31" s="19"/>
      <c r="H31" s="19"/>
      <c r="I31" s="19"/>
      <c r="J31" s="19"/>
      <c r="K31" s="19"/>
      <c r="L31" s="19"/>
      <c r="M31" s="19"/>
      <c r="N31" s="19"/>
      <c r="O31" s="19"/>
      <c r="P31" s="19"/>
    </row>
    <row r="32" customFormat="false" ht="57.75" hidden="false" customHeight="true" outlineLevel="0" collapsed="false">
      <c r="A32" s="14" t="s">
        <v>143</v>
      </c>
      <c r="B32" s="15" t="s">
        <v>144</v>
      </c>
      <c r="C32" s="16" t="s">
        <v>98</v>
      </c>
      <c r="D32" s="16" t="s">
        <v>145</v>
      </c>
      <c r="E32" s="17" t="n">
        <f aca="false">COUNTA(G32:P32)</f>
        <v>0</v>
      </c>
      <c r="F32" s="18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3" customFormat="false" ht="24" hidden="false" customHeight="true" outlineLevel="0" collapsed="false">
      <c r="A33" s="12"/>
      <c r="B33" s="13" t="s">
        <v>146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customFormat="false" ht="19.5" hidden="false" customHeight="true" outlineLevel="0" collapsed="false">
      <c r="A34" s="14"/>
      <c r="B34" s="15" t="s">
        <v>246</v>
      </c>
      <c r="C34" s="16" t="s">
        <v>43</v>
      </c>
      <c r="D34" s="16" t="s">
        <v>247</v>
      </c>
      <c r="E34" s="17" t="n">
        <f aca="false">COUNTA(G34:P34)</f>
        <v>0</v>
      </c>
      <c r="F34" s="18" t="s">
        <v>248</v>
      </c>
      <c r="G34" s="19"/>
      <c r="H34" s="19"/>
      <c r="I34" s="19"/>
      <c r="J34" s="19"/>
      <c r="K34" s="19"/>
      <c r="L34" s="19"/>
      <c r="M34" s="19"/>
      <c r="N34" s="19"/>
      <c r="O34" s="19"/>
      <c r="P34" s="19"/>
    </row>
    <row r="35" customFormat="false" ht="45" hidden="false" customHeight="true" outlineLevel="0" collapsed="false">
      <c r="A35" s="14"/>
      <c r="B35" s="15" t="s">
        <v>249</v>
      </c>
      <c r="C35" s="16" t="s">
        <v>66</v>
      </c>
      <c r="D35" s="16" t="s">
        <v>317</v>
      </c>
      <c r="E35" s="17" t="n">
        <f aca="false">COUNTA(G35:P35)</f>
        <v>0</v>
      </c>
      <c r="F35" s="18" t="s">
        <v>318</v>
      </c>
      <c r="G35" s="19"/>
      <c r="H35" s="19"/>
      <c r="I35" s="19"/>
      <c r="J35" s="19"/>
      <c r="K35" s="19"/>
      <c r="L35" s="19"/>
      <c r="M35" s="19"/>
      <c r="N35" s="19"/>
      <c r="O35" s="19"/>
      <c r="P35" s="19"/>
    </row>
    <row r="36" customFormat="false" ht="19.5" hidden="false" customHeight="true" outlineLevel="0" collapsed="false">
      <c r="A36" s="14"/>
      <c r="B36" s="15" t="s">
        <v>252</v>
      </c>
      <c r="C36" s="16" t="s">
        <v>39</v>
      </c>
      <c r="D36" s="16" t="s">
        <v>319</v>
      </c>
      <c r="E36" s="17" t="n">
        <f aca="false">COUNTA(G36:P36)</f>
        <v>0</v>
      </c>
      <c r="F36" s="18" t="s">
        <v>320</v>
      </c>
      <c r="G36" s="19"/>
      <c r="H36" s="19"/>
      <c r="I36" s="19"/>
      <c r="J36" s="19"/>
      <c r="K36" s="19"/>
      <c r="L36" s="19"/>
      <c r="M36" s="19"/>
      <c r="N36" s="19"/>
      <c r="O36" s="19"/>
      <c r="P36" s="19"/>
    </row>
    <row r="37" customFormat="false" ht="19.5" hidden="false" customHeight="true" outlineLevel="0" collapsed="false">
      <c r="A37" s="14"/>
      <c r="B37" s="15" t="s">
        <v>255</v>
      </c>
      <c r="C37" s="16" t="s">
        <v>93</v>
      </c>
      <c r="D37" s="16" t="s">
        <v>256</v>
      </c>
      <c r="E37" s="17" t="n">
        <f aca="false">COUNTA(G37:P37)</f>
        <v>0</v>
      </c>
      <c r="F37" s="18"/>
      <c r="G37" s="20"/>
      <c r="H37" s="20"/>
      <c r="I37" s="20"/>
      <c r="J37" s="20"/>
      <c r="K37" s="20"/>
      <c r="L37" s="20"/>
      <c r="M37" s="20"/>
      <c r="N37" s="20"/>
      <c r="O37" s="20"/>
      <c r="P37" s="20"/>
    </row>
    <row r="38" customFormat="false" ht="57.75" hidden="false" customHeight="true" outlineLevel="0" collapsed="false">
      <c r="A38" s="14"/>
      <c r="B38" s="15" t="s">
        <v>257</v>
      </c>
      <c r="C38" s="16" t="s">
        <v>151</v>
      </c>
      <c r="D38" s="16" t="s">
        <v>258</v>
      </c>
      <c r="E38" s="17" t="n">
        <f aca="false">COUNTA(G38:P38)</f>
        <v>0</v>
      </c>
      <c r="F38" s="18" t="s">
        <v>321</v>
      </c>
      <c r="G38" s="19"/>
      <c r="H38" s="19"/>
      <c r="I38" s="19"/>
      <c r="J38" s="19"/>
      <c r="K38" s="19"/>
      <c r="L38" s="19"/>
      <c r="M38" s="19"/>
      <c r="N38" s="19"/>
      <c r="O38" s="19"/>
      <c r="P38" s="19"/>
    </row>
  </sheetData>
  <mergeCells count="3">
    <mergeCell ref="A1:B1"/>
    <mergeCell ref="A2:B2"/>
    <mergeCell ref="A3:B3"/>
  </mergeCells>
  <dataValidations count="5">
    <dataValidation allowBlank="true" errorStyle="stop" operator="between" showDropDown="false" showErrorMessage="false" showInputMessage="false" sqref="G7:P7" type="list">
      <formula1>Списки!$S$1:$S$16</formula1>
      <formula2>0</formula2>
    </dataValidation>
    <dataValidation allowBlank="true" errorStyle="stop" operator="between" showDropDown="false" showErrorMessage="false" showInputMessage="false" sqref="G11:P11" type="list">
      <formula1>Списки!$T$1:$T$4</formula1>
      <formula2>0</formula2>
    </dataValidation>
    <dataValidation allowBlank="true" errorStyle="stop" operator="between" showDropDown="false" showErrorMessage="false" showInputMessage="false" sqref="G16:P16" type="list">
      <formula1>Списки!$U$1:$U$4</formula1>
      <formula2>0</formula2>
    </dataValidation>
    <dataValidation allowBlank="true" errorStyle="stop" operator="between" showDropDown="false" showErrorMessage="false" showInputMessage="false" sqref="G17:P17" type="list">
      <formula1>Списки!$V$1:$V$4</formula1>
      <formula2>0</formula2>
    </dataValidation>
    <dataValidation allowBlank="true" errorStyle="stop" operator="between" showDropDown="false" showErrorMessage="false" showInputMessage="false" sqref="G34:P34" type="list">
      <formula1>Списки!$W$1:$W$3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7C58B"/>
    <pageSetUpPr fitToPage="false"/>
  </sheetPr>
  <dimension ref="A1:P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17"/>
    <col collapsed="false" customWidth="true" hidden="false" outlineLevel="0" max="4" min="4" style="0" width="42"/>
    <col collapsed="false" customWidth="true" hidden="false" outlineLevel="0" max="5" min="5" style="0" width="10"/>
    <col collapsed="false" customWidth="true" hidden="false" outlineLevel="0" max="16" min="6" style="0" width="30"/>
  </cols>
  <sheetData>
    <row r="1" customFormat="false" ht="25.5" hidden="false" customHeight="true" outlineLevel="0" collapsed="false">
      <c r="A1" s="10" t="s">
        <v>322</v>
      </c>
      <c r="B1" s="10"/>
    </row>
    <row r="2" customFormat="false" ht="43.5" hidden="false" customHeight="true" outlineLevel="0" collapsed="false">
      <c r="A2" s="11" t="s">
        <v>323</v>
      </c>
      <c r="B2" s="11"/>
    </row>
    <row r="3" customFormat="false" ht="31.5" hidden="false" customHeight="true" outlineLevel="0" collapsed="false">
      <c r="A3" s="11" t="s">
        <v>32</v>
      </c>
      <c r="B3" s="11"/>
    </row>
    <row r="4" customFormat="false" ht="30" hidden="false" customHeight="true" outlineLevel="0" collapsed="false">
      <c r="A4" s="5" t="s">
        <v>33</v>
      </c>
      <c r="B4" s="5" t="s">
        <v>34</v>
      </c>
      <c r="C4" s="5" t="s">
        <v>35</v>
      </c>
      <c r="D4" s="5" t="s">
        <v>36</v>
      </c>
      <c r="E4" s="5" t="s">
        <v>11</v>
      </c>
      <c r="F4" s="5" t="s">
        <v>9</v>
      </c>
      <c r="G4" s="5" t="str">
        <f aca="false">IF(G$6="","Человек 1",G$6)</f>
        <v>Человек 1</v>
      </c>
      <c r="H4" s="5" t="str">
        <f aca="false">IF(H$6="","Человек 2",H$6)</f>
        <v>Человек 2</v>
      </c>
      <c r="I4" s="5" t="str">
        <f aca="false">IF(I$6="","Человек 3",I$6)</f>
        <v>Человек 3</v>
      </c>
      <c r="J4" s="5" t="str">
        <f aca="false">IF(J$6="","Человек 4",J$6)</f>
        <v>Человек 4</v>
      </c>
      <c r="K4" s="5" t="str">
        <f aca="false">IF(K$6="","Человек 5",K$6)</f>
        <v>Человек 5</v>
      </c>
      <c r="L4" s="5" t="str">
        <f aca="false">IF(L$6="","Человек 6",L$6)</f>
        <v>Человек 6</v>
      </c>
      <c r="M4" s="5" t="str">
        <f aca="false">IF(M$6="","Человек 7",M$6)</f>
        <v>Человек 7</v>
      </c>
      <c r="N4" s="5" t="str">
        <f aca="false">IF(N$6="","Человек 8",N$6)</f>
        <v>Человек 8</v>
      </c>
      <c r="O4" s="5" t="str">
        <f aca="false">IF(O$6="","Человек 9",O$6)</f>
        <v>Человек 9</v>
      </c>
      <c r="P4" s="5" t="str">
        <f aca="false">IF(P$6="","Человек 10",P$6)</f>
        <v>Человек 10</v>
      </c>
    </row>
    <row r="5" customFormat="false" ht="24" hidden="false" customHeight="true" outlineLevel="0" collapsed="false">
      <c r="A5" s="12"/>
      <c r="B5" s="13" t="s">
        <v>37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customFormat="false" ht="19.5" hidden="false" customHeight="true" outlineLevel="0" collapsed="false">
      <c r="A6" s="14" t="n">
        <v>1</v>
      </c>
      <c r="B6" s="15" t="s">
        <v>324</v>
      </c>
      <c r="C6" s="16" t="s">
        <v>39</v>
      </c>
      <c r="D6" s="16" t="s">
        <v>40</v>
      </c>
      <c r="E6" s="17" t="n">
        <f aca="false">COUNTA(G6:P6)</f>
        <v>0</v>
      </c>
      <c r="F6" s="18" t="s">
        <v>325</v>
      </c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9.5" hidden="false" customHeight="true" outlineLevel="0" collapsed="false">
      <c r="A7" s="14" t="n">
        <v>2</v>
      </c>
      <c r="B7" s="15" t="s">
        <v>326</v>
      </c>
      <c r="C7" s="16" t="s">
        <v>39</v>
      </c>
      <c r="D7" s="16" t="s">
        <v>327</v>
      </c>
      <c r="E7" s="17" t="n">
        <f aca="false">COUNTA(G7:P7)</f>
        <v>0</v>
      </c>
      <c r="F7" s="18" t="s">
        <v>328</v>
      </c>
      <c r="G7" s="19"/>
      <c r="H7" s="19"/>
      <c r="I7" s="19"/>
      <c r="J7" s="19"/>
      <c r="K7" s="19"/>
      <c r="L7" s="19"/>
      <c r="M7" s="19"/>
      <c r="N7" s="19"/>
      <c r="O7" s="19"/>
      <c r="P7" s="19"/>
    </row>
    <row r="8" customFormat="false" ht="19.5" hidden="false" customHeight="true" outlineLevel="0" collapsed="false">
      <c r="A8" s="14" t="n">
        <v>3</v>
      </c>
      <c r="B8" s="15" t="s">
        <v>329</v>
      </c>
      <c r="C8" s="16" t="s">
        <v>43</v>
      </c>
      <c r="D8" s="16" t="s">
        <v>330</v>
      </c>
      <c r="E8" s="17" t="n">
        <f aca="false">COUNTA(G8:P8)</f>
        <v>0</v>
      </c>
      <c r="F8" s="18" t="s">
        <v>331</v>
      </c>
      <c r="G8" s="19"/>
      <c r="H8" s="19"/>
      <c r="I8" s="19"/>
      <c r="J8" s="19"/>
      <c r="K8" s="19"/>
      <c r="L8" s="19"/>
      <c r="M8" s="19"/>
      <c r="N8" s="19"/>
      <c r="O8" s="19"/>
      <c r="P8" s="19"/>
    </row>
    <row r="9" customFormat="false" ht="45" hidden="false" customHeight="true" outlineLevel="0" collapsed="false">
      <c r="A9" s="14" t="n">
        <v>4</v>
      </c>
      <c r="B9" s="15" t="s">
        <v>332</v>
      </c>
      <c r="C9" s="16" t="s">
        <v>66</v>
      </c>
      <c r="D9" s="16" t="s">
        <v>333</v>
      </c>
      <c r="E9" s="17" t="n">
        <f aca="false">COUNTA(G9:P9)</f>
        <v>0</v>
      </c>
      <c r="F9" s="18" t="s">
        <v>334</v>
      </c>
      <c r="G9" s="19"/>
      <c r="H9" s="19"/>
      <c r="I9" s="19"/>
      <c r="J9" s="19"/>
      <c r="K9" s="19"/>
      <c r="L9" s="19"/>
      <c r="M9" s="19"/>
      <c r="N9" s="19"/>
      <c r="O9" s="19"/>
      <c r="P9" s="19"/>
    </row>
    <row r="10" customFormat="false" ht="31.5" hidden="false" customHeight="true" outlineLevel="0" collapsed="false">
      <c r="A10" s="14" t="n">
        <v>5</v>
      </c>
      <c r="B10" s="15" t="s">
        <v>335</v>
      </c>
      <c r="C10" s="16" t="s">
        <v>43</v>
      </c>
      <c r="D10" s="16" t="s">
        <v>336</v>
      </c>
      <c r="E10" s="17" t="n">
        <f aca="false">COUNTA(G10:P10)</f>
        <v>0</v>
      </c>
      <c r="F10" s="18" t="s">
        <v>337</v>
      </c>
      <c r="G10" s="19"/>
      <c r="H10" s="19"/>
      <c r="I10" s="19"/>
      <c r="J10" s="19"/>
      <c r="K10" s="19"/>
      <c r="L10" s="19"/>
      <c r="M10" s="19"/>
      <c r="N10" s="19"/>
      <c r="O10" s="19"/>
      <c r="P10" s="19"/>
    </row>
    <row r="11" customFormat="false" ht="45" hidden="false" customHeight="true" outlineLevel="0" collapsed="false">
      <c r="A11" s="14" t="n">
        <v>6</v>
      </c>
      <c r="B11" s="15" t="s">
        <v>338</v>
      </c>
      <c r="C11" s="16" t="s">
        <v>73</v>
      </c>
      <c r="D11" s="16" t="s">
        <v>339</v>
      </c>
      <c r="E11" s="17" t="n">
        <f aca="false">COUNTA(G11:P11)</f>
        <v>0</v>
      </c>
      <c r="F11" s="18" t="s">
        <v>340</v>
      </c>
      <c r="G11" s="19"/>
      <c r="H11" s="19"/>
      <c r="I11" s="19"/>
      <c r="J11" s="19"/>
      <c r="K11" s="19"/>
      <c r="L11" s="19"/>
      <c r="M11" s="19"/>
      <c r="N11" s="19"/>
      <c r="O11" s="19"/>
      <c r="P11" s="19"/>
    </row>
    <row r="12" customFormat="false" ht="31.5" hidden="false" customHeight="true" outlineLevel="0" collapsed="false">
      <c r="A12" s="14" t="n">
        <v>7</v>
      </c>
      <c r="B12" s="15" t="s">
        <v>341</v>
      </c>
      <c r="C12" s="16" t="s">
        <v>43</v>
      </c>
      <c r="D12" s="16" t="s">
        <v>342</v>
      </c>
      <c r="E12" s="17" t="n">
        <f aca="false">COUNTA(G12:P12)</f>
        <v>0</v>
      </c>
      <c r="F12" s="18" t="s">
        <v>343</v>
      </c>
      <c r="G12" s="19"/>
      <c r="H12" s="19"/>
      <c r="I12" s="19"/>
      <c r="J12" s="19"/>
      <c r="K12" s="19"/>
      <c r="L12" s="19"/>
      <c r="M12" s="19"/>
      <c r="N12" s="19"/>
      <c r="O12" s="19"/>
      <c r="P12" s="19"/>
    </row>
    <row r="13" customFormat="false" ht="31.5" hidden="false" customHeight="true" outlineLevel="0" collapsed="false">
      <c r="A13" s="14" t="n">
        <v>8</v>
      </c>
      <c r="B13" s="15" t="s">
        <v>344</v>
      </c>
      <c r="C13" s="16" t="s">
        <v>66</v>
      </c>
      <c r="D13" s="16" t="s">
        <v>345</v>
      </c>
      <c r="E13" s="17" t="n">
        <f aca="false">COUNTA(G13:P13)</f>
        <v>0</v>
      </c>
      <c r="F13" s="18" t="s">
        <v>346</v>
      </c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9.5" hidden="false" customHeight="true" outlineLevel="0" collapsed="false">
      <c r="A14" s="14" t="n">
        <v>9</v>
      </c>
      <c r="B14" s="15" t="s">
        <v>347</v>
      </c>
      <c r="C14" s="16" t="s">
        <v>43</v>
      </c>
      <c r="D14" s="16" t="s">
        <v>348</v>
      </c>
      <c r="E14" s="17" t="n">
        <f aca="false">COUNTA(G14:P14)</f>
        <v>0</v>
      </c>
      <c r="F14" s="18" t="s">
        <v>349</v>
      </c>
      <c r="G14" s="19"/>
      <c r="H14" s="19"/>
      <c r="I14" s="19"/>
      <c r="J14" s="19"/>
      <c r="K14" s="19"/>
      <c r="L14" s="19"/>
      <c r="M14" s="19"/>
      <c r="N14" s="19"/>
      <c r="O14" s="19"/>
      <c r="P14" s="19"/>
    </row>
    <row r="15" customFormat="false" ht="31.5" hidden="false" customHeight="true" outlineLevel="0" collapsed="false">
      <c r="A15" s="14" t="n">
        <v>10</v>
      </c>
      <c r="B15" s="15" t="s">
        <v>350</v>
      </c>
      <c r="C15" s="16" t="s">
        <v>53</v>
      </c>
      <c r="D15" s="16" t="s">
        <v>351</v>
      </c>
      <c r="E15" s="17" t="n">
        <f aca="false">COUNTA(G15:P15)</f>
        <v>0</v>
      </c>
      <c r="F15" s="18" t="s">
        <v>352</v>
      </c>
      <c r="G15" s="19"/>
      <c r="H15" s="19"/>
      <c r="I15" s="19"/>
      <c r="J15" s="19"/>
      <c r="K15" s="19"/>
      <c r="L15" s="19"/>
      <c r="M15" s="19"/>
      <c r="N15" s="19"/>
      <c r="O15" s="19"/>
      <c r="P15" s="19"/>
    </row>
    <row r="16" customFormat="false" ht="19.5" hidden="false" customHeight="true" outlineLevel="0" collapsed="false">
      <c r="A16" s="14" t="n">
        <v>11</v>
      </c>
      <c r="B16" s="15" t="s">
        <v>353</v>
      </c>
      <c r="C16" s="16" t="s">
        <v>43</v>
      </c>
      <c r="D16" s="16" t="s">
        <v>354</v>
      </c>
      <c r="E16" s="17" t="n">
        <f aca="false">COUNTA(G16:P16)</f>
        <v>0</v>
      </c>
      <c r="F16" s="18" t="s">
        <v>355</v>
      </c>
      <c r="G16" s="19"/>
      <c r="H16" s="19"/>
      <c r="I16" s="19"/>
      <c r="J16" s="19"/>
      <c r="K16" s="19"/>
      <c r="L16" s="19"/>
      <c r="M16" s="19"/>
      <c r="N16" s="19"/>
      <c r="O16" s="19"/>
      <c r="P16" s="19"/>
    </row>
    <row r="17" customFormat="false" ht="19.5" hidden="false" customHeight="true" outlineLevel="0" collapsed="false">
      <c r="A17" s="14" t="n">
        <v>12</v>
      </c>
      <c r="B17" s="15" t="s">
        <v>356</v>
      </c>
      <c r="C17" s="16" t="s">
        <v>43</v>
      </c>
      <c r="D17" s="16" t="s">
        <v>357</v>
      </c>
      <c r="E17" s="17" t="n">
        <f aca="false">COUNTA(G17:P17)</f>
        <v>0</v>
      </c>
      <c r="F17" s="18" t="s">
        <v>358</v>
      </c>
      <c r="G17" s="19"/>
      <c r="H17" s="19"/>
      <c r="I17" s="19"/>
      <c r="J17" s="19"/>
      <c r="K17" s="19"/>
      <c r="L17" s="19"/>
      <c r="M17" s="19"/>
      <c r="N17" s="19"/>
      <c r="O17" s="19"/>
      <c r="P17" s="19"/>
    </row>
    <row r="18" customFormat="false" ht="19.5" hidden="false" customHeight="true" outlineLevel="0" collapsed="false">
      <c r="A18" s="14" t="n">
        <v>13</v>
      </c>
      <c r="B18" s="15" t="s">
        <v>359</v>
      </c>
      <c r="C18" s="16" t="s">
        <v>43</v>
      </c>
      <c r="D18" s="16" t="s">
        <v>360</v>
      </c>
      <c r="E18" s="17" t="n">
        <f aca="false">COUNTA(G18:P18)</f>
        <v>0</v>
      </c>
      <c r="F18" s="18" t="s">
        <v>361</v>
      </c>
      <c r="G18" s="19"/>
      <c r="H18" s="19"/>
      <c r="I18" s="19"/>
      <c r="J18" s="19"/>
      <c r="K18" s="19"/>
      <c r="L18" s="19"/>
      <c r="M18" s="19"/>
      <c r="N18" s="19"/>
      <c r="O18" s="19"/>
      <c r="P18" s="19"/>
    </row>
    <row r="19" customFormat="false" ht="19.5" hidden="false" customHeight="true" outlineLevel="0" collapsed="false">
      <c r="A19" s="14" t="n">
        <v>14</v>
      </c>
      <c r="B19" s="15" t="s">
        <v>362</v>
      </c>
      <c r="C19" s="16" t="s">
        <v>39</v>
      </c>
      <c r="D19" s="16" t="s">
        <v>89</v>
      </c>
      <c r="E19" s="17" t="n">
        <f aca="false">COUNTA(G19:P19)</f>
        <v>0</v>
      </c>
      <c r="F19" s="18" t="s">
        <v>363</v>
      </c>
      <c r="G19" s="19"/>
      <c r="H19" s="19"/>
      <c r="I19" s="19"/>
      <c r="J19" s="19"/>
      <c r="K19" s="19"/>
      <c r="L19" s="19"/>
      <c r="M19" s="19"/>
      <c r="N19" s="19"/>
      <c r="O19" s="19"/>
      <c r="P19" s="19"/>
    </row>
    <row r="20" customFormat="false" ht="24" hidden="false" customHeight="true" outlineLevel="0" collapsed="false">
      <c r="A20" s="12"/>
      <c r="B20" s="13" t="s">
        <v>212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customFormat="false" ht="19.5" hidden="false" customHeight="true" outlineLevel="0" collapsed="false">
      <c r="A21" s="14"/>
      <c r="B21" s="15" t="s">
        <v>92</v>
      </c>
      <c r="C21" s="16" t="s">
        <v>93</v>
      </c>
      <c r="D21" s="16" t="s">
        <v>94</v>
      </c>
      <c r="E21" s="17" t="n">
        <f aca="false">COUNTA(G21:P21)</f>
        <v>0</v>
      </c>
      <c r="F21" s="18"/>
      <c r="G21" s="20"/>
      <c r="H21" s="20"/>
      <c r="I21" s="20"/>
      <c r="J21" s="20"/>
      <c r="K21" s="20"/>
      <c r="L21" s="20"/>
      <c r="M21" s="20"/>
      <c r="N21" s="20"/>
      <c r="O21" s="20"/>
      <c r="P21" s="20"/>
    </row>
    <row r="22" customFormat="false" ht="19.5" hidden="false" customHeight="true" outlineLevel="0" collapsed="false">
      <c r="A22" s="14"/>
      <c r="B22" s="15" t="s">
        <v>95</v>
      </c>
      <c r="C22" s="16" t="s">
        <v>39</v>
      </c>
      <c r="D22" s="16" t="s">
        <v>96</v>
      </c>
      <c r="E22" s="17" t="n">
        <f aca="false">COUNTA(G22:P22)</f>
        <v>0</v>
      </c>
      <c r="F22" s="18"/>
      <c r="G22" s="19"/>
      <c r="H22" s="19"/>
      <c r="I22" s="19"/>
      <c r="J22" s="19"/>
      <c r="K22" s="19"/>
      <c r="L22" s="19"/>
      <c r="M22" s="19"/>
      <c r="N22" s="19"/>
      <c r="O22" s="19"/>
      <c r="P22" s="19"/>
    </row>
    <row r="23" customFormat="false" ht="57.75" hidden="false" customHeight="true" outlineLevel="0" collapsed="false">
      <c r="A23" s="14" t="n">
        <v>1</v>
      </c>
      <c r="B23" s="15" t="s">
        <v>364</v>
      </c>
      <c r="C23" s="16" t="s">
        <v>98</v>
      </c>
      <c r="D23" s="16" t="s">
        <v>365</v>
      </c>
      <c r="E23" s="17" t="n">
        <f aca="false">COUNTA(G23:P23)</f>
        <v>0</v>
      </c>
      <c r="F23" s="18"/>
      <c r="G23" s="19"/>
      <c r="H23" s="19"/>
      <c r="I23" s="19"/>
      <c r="J23" s="19"/>
      <c r="K23" s="19"/>
      <c r="L23" s="19"/>
      <c r="M23" s="19"/>
      <c r="N23" s="19"/>
      <c r="O23" s="19"/>
      <c r="P23" s="19"/>
    </row>
    <row r="24" customFormat="false" ht="57.75" hidden="false" customHeight="true" outlineLevel="0" collapsed="false">
      <c r="A24" s="14" t="n">
        <v>2</v>
      </c>
      <c r="B24" s="15" t="s">
        <v>366</v>
      </c>
      <c r="C24" s="16" t="s">
        <v>98</v>
      </c>
      <c r="D24" s="16" t="s">
        <v>367</v>
      </c>
      <c r="E24" s="17" t="n">
        <f aca="false">COUNTA(G24:P24)</f>
        <v>0</v>
      </c>
      <c r="F24" s="18"/>
      <c r="G24" s="19"/>
      <c r="H24" s="19"/>
      <c r="I24" s="19"/>
      <c r="J24" s="19"/>
      <c r="K24" s="19"/>
      <c r="L24" s="19"/>
      <c r="M24" s="19"/>
      <c r="N24" s="19"/>
      <c r="O24" s="19"/>
      <c r="P24" s="19"/>
    </row>
    <row r="25" customFormat="false" ht="57.75" hidden="false" customHeight="true" outlineLevel="0" collapsed="false">
      <c r="A25" s="14" t="n">
        <v>3</v>
      </c>
      <c r="B25" s="15" t="s">
        <v>368</v>
      </c>
      <c r="C25" s="16" t="s">
        <v>98</v>
      </c>
      <c r="D25" s="16" t="s">
        <v>369</v>
      </c>
      <c r="E25" s="17" t="n">
        <f aca="false">COUNTA(G25:P25)</f>
        <v>0</v>
      </c>
      <c r="F25" s="18"/>
      <c r="G25" s="19"/>
      <c r="H25" s="19"/>
      <c r="I25" s="19"/>
      <c r="J25" s="19"/>
      <c r="K25" s="19"/>
      <c r="L25" s="19"/>
      <c r="M25" s="19"/>
      <c r="N25" s="19"/>
      <c r="O25" s="19"/>
      <c r="P25" s="19"/>
    </row>
    <row r="26" customFormat="false" ht="57.75" hidden="false" customHeight="true" outlineLevel="0" collapsed="false">
      <c r="A26" s="14" t="n">
        <v>4</v>
      </c>
      <c r="B26" s="15" t="s">
        <v>370</v>
      </c>
      <c r="C26" s="16" t="s">
        <v>98</v>
      </c>
      <c r="D26" s="16" t="s">
        <v>371</v>
      </c>
      <c r="E26" s="17" t="n">
        <f aca="false">COUNTA(G26:P26)</f>
        <v>0</v>
      </c>
      <c r="F26" s="18"/>
      <c r="G26" s="19"/>
      <c r="H26" s="19"/>
      <c r="I26" s="19"/>
      <c r="J26" s="19"/>
      <c r="K26" s="19"/>
      <c r="L26" s="19"/>
      <c r="M26" s="19"/>
      <c r="N26" s="19"/>
      <c r="O26" s="19"/>
      <c r="P26" s="19"/>
    </row>
    <row r="27" customFormat="false" ht="57.75" hidden="false" customHeight="true" outlineLevel="0" collapsed="false">
      <c r="A27" s="14" t="n">
        <v>5</v>
      </c>
      <c r="B27" s="15" t="s">
        <v>372</v>
      </c>
      <c r="C27" s="16" t="s">
        <v>98</v>
      </c>
      <c r="D27" s="16" t="s">
        <v>373</v>
      </c>
      <c r="E27" s="17" t="n">
        <f aca="false">COUNTA(G27:P27)</f>
        <v>0</v>
      </c>
      <c r="F27" s="18"/>
      <c r="G27" s="19"/>
      <c r="H27" s="19"/>
      <c r="I27" s="19"/>
      <c r="J27" s="19"/>
      <c r="K27" s="19"/>
      <c r="L27" s="19"/>
      <c r="M27" s="19"/>
      <c r="N27" s="19"/>
      <c r="O27" s="19"/>
      <c r="P27" s="19"/>
    </row>
    <row r="28" customFormat="false" ht="57.75" hidden="false" customHeight="true" outlineLevel="0" collapsed="false">
      <c r="A28" s="14" t="n">
        <v>6</v>
      </c>
      <c r="B28" s="15" t="s">
        <v>374</v>
      </c>
      <c r="C28" s="16" t="s">
        <v>98</v>
      </c>
      <c r="D28" s="16" t="s">
        <v>375</v>
      </c>
      <c r="E28" s="17" t="n">
        <f aca="false">COUNTA(G28:P28)</f>
        <v>0</v>
      </c>
      <c r="F28" s="18"/>
      <c r="G28" s="19"/>
      <c r="H28" s="19"/>
      <c r="I28" s="19"/>
      <c r="J28" s="19"/>
      <c r="K28" s="19"/>
      <c r="L28" s="19"/>
      <c r="M28" s="19"/>
      <c r="N28" s="19"/>
      <c r="O28" s="19"/>
      <c r="P28" s="19"/>
    </row>
    <row r="29" customFormat="false" ht="57.75" hidden="false" customHeight="true" outlineLevel="0" collapsed="false">
      <c r="A29" s="14" t="n">
        <v>7</v>
      </c>
      <c r="B29" s="15" t="s">
        <v>376</v>
      </c>
      <c r="C29" s="16" t="s">
        <v>98</v>
      </c>
      <c r="D29" s="16" t="s">
        <v>377</v>
      </c>
      <c r="E29" s="17" t="n">
        <f aca="false">COUNTA(G29:P29)</f>
        <v>0</v>
      </c>
      <c r="F29" s="18"/>
      <c r="G29" s="19"/>
      <c r="H29" s="19"/>
      <c r="I29" s="19"/>
      <c r="J29" s="19"/>
      <c r="K29" s="19"/>
      <c r="L29" s="19"/>
      <c r="M29" s="19"/>
      <c r="N29" s="19"/>
      <c r="O29" s="19"/>
      <c r="P29" s="19"/>
    </row>
    <row r="30" customFormat="false" ht="57.75" hidden="false" customHeight="true" outlineLevel="0" collapsed="false">
      <c r="A30" s="14" t="n">
        <v>8</v>
      </c>
      <c r="B30" s="15" t="s">
        <v>378</v>
      </c>
      <c r="C30" s="16" t="s">
        <v>98</v>
      </c>
      <c r="D30" s="16" t="s">
        <v>379</v>
      </c>
      <c r="E30" s="17" t="n">
        <f aca="false">COUNTA(G30:P30)</f>
        <v>0</v>
      </c>
      <c r="F30" s="18"/>
      <c r="G30" s="19"/>
      <c r="H30" s="19"/>
      <c r="I30" s="19"/>
      <c r="J30" s="19"/>
      <c r="K30" s="19"/>
      <c r="L30" s="19"/>
      <c r="M30" s="19"/>
      <c r="N30" s="19"/>
      <c r="O30" s="19"/>
      <c r="P30" s="19"/>
    </row>
    <row r="31" customFormat="false" ht="57.75" hidden="false" customHeight="true" outlineLevel="0" collapsed="false">
      <c r="A31" s="14" t="n">
        <v>9</v>
      </c>
      <c r="B31" s="15" t="s">
        <v>380</v>
      </c>
      <c r="C31" s="16" t="s">
        <v>98</v>
      </c>
      <c r="D31" s="16" t="s">
        <v>314</v>
      </c>
      <c r="E31" s="17" t="n">
        <f aca="false">COUNTA(G31:P31)</f>
        <v>0</v>
      </c>
      <c r="F31" s="18"/>
      <c r="G31" s="19"/>
      <c r="H31" s="19"/>
      <c r="I31" s="19"/>
      <c r="J31" s="19"/>
      <c r="K31" s="19"/>
      <c r="L31" s="19"/>
      <c r="M31" s="19"/>
      <c r="N31" s="19"/>
      <c r="O31" s="19"/>
      <c r="P31" s="19"/>
    </row>
    <row r="32" customFormat="false" ht="57.75" hidden="false" customHeight="true" outlineLevel="0" collapsed="false">
      <c r="A32" s="14" t="n">
        <v>10</v>
      </c>
      <c r="B32" s="15" t="s">
        <v>381</v>
      </c>
      <c r="C32" s="16" t="s">
        <v>98</v>
      </c>
      <c r="D32" s="16" t="s">
        <v>382</v>
      </c>
      <c r="E32" s="17" t="n">
        <f aca="false">COUNTA(G32:P32)</f>
        <v>0</v>
      </c>
      <c r="F32" s="18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3" customFormat="false" ht="57.75" hidden="false" customHeight="true" outlineLevel="0" collapsed="false">
      <c r="A33" s="14" t="s">
        <v>143</v>
      </c>
      <c r="B33" s="15" t="s">
        <v>144</v>
      </c>
      <c r="C33" s="16" t="s">
        <v>98</v>
      </c>
      <c r="D33" s="16" t="s">
        <v>145</v>
      </c>
      <c r="E33" s="17" t="n">
        <f aca="false">COUNTA(G33:P33)</f>
        <v>0</v>
      </c>
      <c r="F33" s="18"/>
      <c r="G33" s="19"/>
      <c r="H33" s="19"/>
      <c r="I33" s="19"/>
      <c r="J33" s="19"/>
      <c r="K33" s="19"/>
      <c r="L33" s="19"/>
      <c r="M33" s="19"/>
      <c r="N33" s="19"/>
      <c r="O33" s="19"/>
      <c r="P33" s="19"/>
    </row>
    <row r="34" customFormat="false" ht="24" hidden="false" customHeight="true" outlineLevel="0" collapsed="false">
      <c r="A34" s="12"/>
      <c r="B34" s="13" t="s">
        <v>146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customFormat="false" ht="19.5" hidden="false" customHeight="true" outlineLevel="0" collapsed="false">
      <c r="A35" s="14"/>
      <c r="B35" s="15" t="s">
        <v>246</v>
      </c>
      <c r="C35" s="16" t="s">
        <v>43</v>
      </c>
      <c r="D35" s="16" t="s">
        <v>247</v>
      </c>
      <c r="E35" s="17" t="n">
        <f aca="false">COUNTA(G35:P35)</f>
        <v>0</v>
      </c>
      <c r="F35" s="18" t="s">
        <v>248</v>
      </c>
      <c r="G35" s="19"/>
      <c r="H35" s="19"/>
      <c r="I35" s="19"/>
      <c r="J35" s="19"/>
      <c r="K35" s="19"/>
      <c r="L35" s="19"/>
      <c r="M35" s="19"/>
      <c r="N35" s="19"/>
      <c r="O35" s="19"/>
      <c r="P35" s="19"/>
    </row>
    <row r="36" customFormat="false" ht="45" hidden="false" customHeight="true" outlineLevel="0" collapsed="false">
      <c r="A36" s="14"/>
      <c r="B36" s="15" t="s">
        <v>249</v>
      </c>
      <c r="C36" s="16" t="s">
        <v>66</v>
      </c>
      <c r="D36" s="16" t="s">
        <v>383</v>
      </c>
      <c r="E36" s="17" t="n">
        <f aca="false">COUNTA(G36:P36)</f>
        <v>0</v>
      </c>
      <c r="F36" s="18" t="s">
        <v>384</v>
      </c>
      <c r="G36" s="19"/>
      <c r="H36" s="19"/>
      <c r="I36" s="19"/>
      <c r="J36" s="19"/>
      <c r="K36" s="19"/>
      <c r="L36" s="19"/>
      <c r="M36" s="19"/>
      <c r="N36" s="19"/>
      <c r="O36" s="19"/>
      <c r="P36" s="19"/>
    </row>
    <row r="37" customFormat="false" ht="19.5" hidden="false" customHeight="true" outlineLevel="0" collapsed="false">
      <c r="A37" s="14"/>
      <c r="B37" s="15" t="s">
        <v>252</v>
      </c>
      <c r="C37" s="16" t="s">
        <v>39</v>
      </c>
      <c r="D37" s="16" t="s">
        <v>385</v>
      </c>
      <c r="E37" s="17" t="n">
        <f aca="false">COUNTA(G37:P37)</f>
        <v>0</v>
      </c>
      <c r="F37" s="18" t="s">
        <v>386</v>
      </c>
      <c r="G37" s="19"/>
      <c r="H37" s="19"/>
      <c r="I37" s="19"/>
      <c r="J37" s="19"/>
      <c r="K37" s="19"/>
      <c r="L37" s="19"/>
      <c r="M37" s="19"/>
      <c r="N37" s="19"/>
      <c r="O37" s="19"/>
      <c r="P37" s="19"/>
    </row>
    <row r="38" customFormat="false" ht="19.5" hidden="false" customHeight="true" outlineLevel="0" collapsed="false">
      <c r="A38" s="14"/>
      <c r="B38" s="15" t="s">
        <v>255</v>
      </c>
      <c r="C38" s="16" t="s">
        <v>93</v>
      </c>
      <c r="D38" s="16" t="s">
        <v>256</v>
      </c>
      <c r="E38" s="17" t="n">
        <f aca="false">COUNTA(G38:P38)</f>
        <v>0</v>
      </c>
      <c r="F38" s="18"/>
      <c r="G38" s="20"/>
      <c r="H38" s="20"/>
      <c r="I38" s="20"/>
      <c r="J38" s="20"/>
      <c r="K38" s="20"/>
      <c r="L38" s="20"/>
      <c r="M38" s="20"/>
      <c r="N38" s="20"/>
      <c r="O38" s="20"/>
      <c r="P38" s="20"/>
    </row>
    <row r="39" customFormat="false" ht="57.75" hidden="false" customHeight="true" outlineLevel="0" collapsed="false">
      <c r="A39" s="14"/>
      <c r="B39" s="15" t="s">
        <v>257</v>
      </c>
      <c r="C39" s="16" t="s">
        <v>151</v>
      </c>
      <c r="D39" s="16" t="s">
        <v>258</v>
      </c>
      <c r="E39" s="17" t="n">
        <f aca="false">COUNTA(G39:P39)</f>
        <v>0</v>
      </c>
      <c r="F39" s="18"/>
      <c r="G39" s="19"/>
      <c r="H39" s="19"/>
      <c r="I39" s="19"/>
      <c r="J39" s="19"/>
      <c r="K39" s="19"/>
      <c r="L39" s="19"/>
      <c r="M39" s="19"/>
      <c r="N39" s="19"/>
      <c r="O39" s="19"/>
      <c r="P39" s="19"/>
    </row>
  </sheetData>
  <mergeCells count="3">
    <mergeCell ref="A1:B1"/>
    <mergeCell ref="A2:B2"/>
    <mergeCell ref="A3:B3"/>
  </mergeCells>
  <dataValidations count="8">
    <dataValidation allowBlank="true" errorStyle="stop" operator="between" showDropDown="false" showErrorMessage="false" showInputMessage="false" sqref="G8:P8" type="list">
      <formula1>Списки!$X$1:$X$3</formula1>
      <formula2>0</formula2>
    </dataValidation>
    <dataValidation allowBlank="true" errorStyle="stop" operator="between" showDropDown="false" showErrorMessage="false" showInputMessage="false" sqref="G10:P10" type="list">
      <formula1>Списки!$Y$1:$Y$5</formula1>
      <formula2>0</formula2>
    </dataValidation>
    <dataValidation allowBlank="true" errorStyle="stop" operator="between" showDropDown="false" showErrorMessage="false" showInputMessage="false" sqref="G12:P12" type="list">
      <formula1>Списки!$Z$1:$Z$3</formula1>
      <formula2>0</formula2>
    </dataValidation>
    <dataValidation allowBlank="true" errorStyle="stop" operator="between" showDropDown="false" showErrorMessage="false" showInputMessage="false" sqref="G14:P14" type="list">
      <formula1>Списки!$AA$1:$AA$3</formula1>
      <formula2>0</formula2>
    </dataValidation>
    <dataValidation allowBlank="true" errorStyle="stop" operator="between" showDropDown="false" showErrorMessage="false" showInputMessage="false" sqref="G16:P16" type="list">
      <formula1>Списки!$AB$1:$AB$3</formula1>
      <formula2>0</formula2>
    </dataValidation>
    <dataValidation allowBlank="true" errorStyle="stop" operator="between" showDropDown="false" showErrorMessage="false" showInputMessage="false" sqref="G17:P17" type="list">
      <formula1>Списки!$AC$1:$AC$2</formula1>
      <formula2>0</formula2>
    </dataValidation>
    <dataValidation allowBlank="true" errorStyle="stop" operator="between" showDropDown="false" showErrorMessage="false" showInputMessage="false" sqref="G18:P18" type="list">
      <formula1>Списки!$AD$1:$AD$2</formula1>
      <formula2>0</formula2>
    </dataValidation>
    <dataValidation allowBlank="true" errorStyle="stop" operator="between" showDropDown="false" showErrorMessage="false" showInputMessage="false" sqref="G35:P35" type="list">
      <formula1>Списки!$AE$1:$AE$3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387</v>
      </c>
      <c r="B1" s="0" t="s">
        <v>167</v>
      </c>
      <c r="C1" s="0" t="s">
        <v>388</v>
      </c>
      <c r="D1" s="0" t="s">
        <v>61</v>
      </c>
      <c r="E1" s="0" t="s">
        <v>64</v>
      </c>
      <c r="F1" s="0" t="s">
        <v>389</v>
      </c>
      <c r="G1" s="0" t="s">
        <v>390</v>
      </c>
      <c r="H1" s="0" t="s">
        <v>84</v>
      </c>
      <c r="I1" s="0" t="s">
        <v>391</v>
      </c>
      <c r="J1" s="0" t="s">
        <v>159</v>
      </c>
      <c r="K1" s="0" t="s">
        <v>392</v>
      </c>
      <c r="L1" s="0" t="s">
        <v>179</v>
      </c>
      <c r="M1" s="0" t="s">
        <v>185</v>
      </c>
      <c r="N1" s="0" t="s">
        <v>191</v>
      </c>
      <c r="O1" s="0" t="s">
        <v>393</v>
      </c>
      <c r="P1" s="0" t="s">
        <v>355</v>
      </c>
      <c r="Q1" s="0" t="s">
        <v>394</v>
      </c>
      <c r="R1" s="0" t="s">
        <v>248</v>
      </c>
      <c r="S1" s="0" t="s">
        <v>266</v>
      </c>
      <c r="T1" s="0" t="s">
        <v>395</v>
      </c>
      <c r="U1" s="0" t="s">
        <v>355</v>
      </c>
      <c r="V1" s="0" t="s">
        <v>396</v>
      </c>
      <c r="W1" s="0" t="s">
        <v>248</v>
      </c>
      <c r="X1" s="0" t="s">
        <v>331</v>
      </c>
      <c r="Y1" s="0" t="s">
        <v>397</v>
      </c>
      <c r="Z1" s="0" t="s">
        <v>343</v>
      </c>
      <c r="AA1" s="0" t="s">
        <v>349</v>
      </c>
      <c r="AB1" s="0" t="s">
        <v>398</v>
      </c>
      <c r="AC1" s="0" t="s">
        <v>399</v>
      </c>
      <c r="AD1" s="0" t="s">
        <v>400</v>
      </c>
      <c r="AE1" s="0" t="s">
        <v>248</v>
      </c>
    </row>
    <row r="2" customFormat="false" ht="15" hidden="false" customHeight="false" outlineLevel="0" collapsed="false">
      <c r="A2" s="0" t="s">
        <v>401</v>
      </c>
      <c r="B2" s="0" t="s">
        <v>48</v>
      </c>
      <c r="C2" s="0" t="s">
        <v>51</v>
      </c>
      <c r="D2" s="0" t="s">
        <v>402</v>
      </c>
      <c r="E2" s="0" t="s">
        <v>403</v>
      </c>
      <c r="F2" s="0" t="s">
        <v>404</v>
      </c>
      <c r="G2" s="0" t="s">
        <v>405</v>
      </c>
      <c r="H2" s="0" t="s">
        <v>406</v>
      </c>
      <c r="I2" s="0" t="s">
        <v>407</v>
      </c>
      <c r="J2" s="0" t="s">
        <v>408</v>
      </c>
      <c r="K2" s="0" t="s">
        <v>409</v>
      </c>
      <c r="L2" s="0" t="s">
        <v>410</v>
      </c>
      <c r="M2" s="0" t="s">
        <v>411</v>
      </c>
      <c r="N2" s="0" t="s">
        <v>412</v>
      </c>
      <c r="O2" s="0" t="s">
        <v>413</v>
      </c>
      <c r="P2" s="0" t="s">
        <v>290</v>
      </c>
      <c r="Q2" s="0" t="s">
        <v>414</v>
      </c>
      <c r="R2" s="0" t="s">
        <v>415</v>
      </c>
      <c r="S2" s="0" t="s">
        <v>416</v>
      </c>
      <c r="T2" s="0" t="s">
        <v>417</v>
      </c>
      <c r="U2" s="0" t="s">
        <v>290</v>
      </c>
      <c r="V2" s="0" t="s">
        <v>293</v>
      </c>
      <c r="W2" s="0" t="s">
        <v>415</v>
      </c>
      <c r="X2" s="0" t="s">
        <v>418</v>
      </c>
      <c r="Y2" s="0" t="s">
        <v>419</v>
      </c>
      <c r="Z2" s="0" t="s">
        <v>420</v>
      </c>
      <c r="AA2" s="0" t="s">
        <v>421</v>
      </c>
      <c r="AB2" s="0" t="s">
        <v>422</v>
      </c>
      <c r="AC2" s="0" t="s">
        <v>358</v>
      </c>
      <c r="AD2" s="0" t="s">
        <v>361</v>
      </c>
      <c r="AE2" s="0" t="s">
        <v>415</v>
      </c>
    </row>
    <row r="3" customFormat="false" ht="15" hidden="false" customHeight="false" outlineLevel="0" collapsed="false">
      <c r="A3" s="0" t="s">
        <v>45</v>
      </c>
      <c r="B3" s="0" t="s">
        <v>423</v>
      </c>
      <c r="C3" s="0" t="s">
        <v>424</v>
      </c>
      <c r="D3" s="0" t="s">
        <v>425</v>
      </c>
      <c r="E3" s="0" t="s">
        <v>426</v>
      </c>
      <c r="F3" s="0" t="s">
        <v>71</v>
      </c>
      <c r="G3" s="0" t="s">
        <v>78</v>
      </c>
      <c r="H3" s="0" t="s">
        <v>427</v>
      </c>
      <c r="I3" s="0" t="s">
        <v>87</v>
      </c>
      <c r="K3" s="0" t="s">
        <v>176</v>
      </c>
      <c r="L3" s="0" t="s">
        <v>428</v>
      </c>
      <c r="M3" s="0" t="s">
        <v>429</v>
      </c>
      <c r="N3" s="0" t="s">
        <v>430</v>
      </c>
      <c r="O3" s="0" t="s">
        <v>194</v>
      </c>
      <c r="P3" s="0" t="s">
        <v>197</v>
      </c>
      <c r="Q3" s="0" t="s">
        <v>431</v>
      </c>
      <c r="R3" s="0" t="s">
        <v>432</v>
      </c>
      <c r="S3" s="0" t="s">
        <v>433</v>
      </c>
      <c r="T3" s="0" t="s">
        <v>276</v>
      </c>
      <c r="U3" s="0" t="s">
        <v>197</v>
      </c>
      <c r="V3" s="0" t="s">
        <v>434</v>
      </c>
      <c r="W3" s="0" t="s">
        <v>432</v>
      </c>
      <c r="X3" s="0" t="s">
        <v>435</v>
      </c>
      <c r="Y3" s="0" t="s">
        <v>436</v>
      </c>
      <c r="Z3" s="0" t="s">
        <v>437</v>
      </c>
      <c r="AA3" s="0" t="s">
        <v>438</v>
      </c>
      <c r="AB3" s="0" t="s">
        <v>355</v>
      </c>
      <c r="AE3" s="0" t="s">
        <v>432</v>
      </c>
    </row>
    <row r="4" customFormat="false" ht="15" hidden="false" customHeight="false" outlineLevel="0" collapsed="false">
      <c r="A4" s="0" t="s">
        <v>439</v>
      </c>
      <c r="B4" s="0" t="s">
        <v>440</v>
      </c>
      <c r="C4" s="0" t="s">
        <v>441</v>
      </c>
      <c r="E4" s="0" t="s">
        <v>442</v>
      </c>
      <c r="F4" s="0" t="s">
        <v>443</v>
      </c>
      <c r="G4" s="0" t="s">
        <v>444</v>
      </c>
      <c r="H4" s="0" t="s">
        <v>445</v>
      </c>
      <c r="I4" s="0" t="s">
        <v>446</v>
      </c>
      <c r="K4" s="0" t="s">
        <v>447</v>
      </c>
      <c r="M4" s="0" t="s">
        <v>448</v>
      </c>
      <c r="N4" s="0" t="s">
        <v>449</v>
      </c>
      <c r="P4" s="0" t="s">
        <v>337</v>
      </c>
      <c r="Q4" s="0" t="s">
        <v>206</v>
      </c>
      <c r="S4" s="0" t="s">
        <v>450</v>
      </c>
      <c r="T4" s="0" t="s">
        <v>451</v>
      </c>
      <c r="U4" s="0" t="s">
        <v>452</v>
      </c>
      <c r="V4" s="0" t="s">
        <v>453</v>
      </c>
      <c r="Y4" s="0" t="s">
        <v>337</v>
      </c>
    </row>
    <row r="5" customFormat="false" ht="15" hidden="false" customHeight="false" outlineLevel="0" collapsed="false">
      <c r="B5" s="0" t="s">
        <v>454</v>
      </c>
      <c r="C5" s="0" t="s">
        <v>455</v>
      </c>
      <c r="F5" s="0" t="s">
        <v>456</v>
      </c>
      <c r="H5" s="0" t="s">
        <v>457</v>
      </c>
      <c r="I5" s="0" t="s">
        <v>458</v>
      </c>
      <c r="K5" s="0" t="s">
        <v>459</v>
      </c>
      <c r="P5" s="0" t="s">
        <v>460</v>
      </c>
      <c r="Q5" s="0" t="s">
        <v>461</v>
      </c>
      <c r="S5" s="0" t="s">
        <v>462</v>
      </c>
      <c r="Y5" s="0" t="s">
        <v>460</v>
      </c>
    </row>
    <row r="6" customFormat="false" ht="15" hidden="false" customHeight="false" outlineLevel="0" collapsed="false">
      <c r="C6" s="0" t="s">
        <v>463</v>
      </c>
      <c r="H6" s="0" t="s">
        <v>464</v>
      </c>
      <c r="S6" s="0" t="s">
        <v>465</v>
      </c>
    </row>
    <row r="7" customFormat="false" ht="15" hidden="false" customHeight="false" outlineLevel="0" collapsed="false">
      <c r="C7" s="0" t="s">
        <v>466</v>
      </c>
      <c r="H7" s="0" t="s">
        <v>467</v>
      </c>
      <c r="S7" s="0" t="s">
        <v>468</v>
      </c>
    </row>
    <row r="8" customFormat="false" ht="15" hidden="false" customHeight="false" outlineLevel="0" collapsed="false">
      <c r="H8" s="0" t="s">
        <v>469</v>
      </c>
      <c r="S8" s="0" t="s">
        <v>470</v>
      </c>
    </row>
    <row r="9" customFormat="false" ht="15" hidden="false" customHeight="false" outlineLevel="0" collapsed="false">
      <c r="S9" s="0" t="s">
        <v>471</v>
      </c>
    </row>
    <row r="10" customFormat="false" ht="15" hidden="false" customHeight="false" outlineLevel="0" collapsed="false">
      <c r="S10" s="0" t="s">
        <v>472</v>
      </c>
    </row>
    <row r="11" customFormat="false" ht="15" hidden="false" customHeight="false" outlineLevel="0" collapsed="false">
      <c r="S11" s="0" t="s">
        <v>473</v>
      </c>
    </row>
    <row r="12" customFormat="false" ht="15" hidden="false" customHeight="false" outlineLevel="0" collapsed="false">
      <c r="S12" s="0" t="s">
        <v>474</v>
      </c>
    </row>
    <row r="13" customFormat="false" ht="15" hidden="false" customHeight="false" outlineLevel="0" collapsed="false">
      <c r="S13" s="0" t="s">
        <v>475</v>
      </c>
    </row>
    <row r="14" customFormat="false" ht="15" hidden="false" customHeight="false" outlineLevel="0" collapsed="false">
      <c r="S14" s="0" t="s">
        <v>476</v>
      </c>
    </row>
    <row r="15" customFormat="false" ht="15" hidden="false" customHeight="false" outlineLevel="0" collapsed="false">
      <c r="S15" s="0" t="s">
        <v>477</v>
      </c>
    </row>
    <row r="16" customFormat="false" ht="15" hidden="false" customHeight="false" outlineLevel="0" collapsed="false">
      <c r="S16" s="0" t="s">
        <v>478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2026-09-25T12:04:11Z</dcterms:created>
  <dc:creator>openpyxl</dc:creator>
  <dc:description/>
  <dc:language>en-US</dc:language>
  <cp:lastModifiedBy/>
  <dcterms:modified xsi:type="dcterms:W3CDTF">2026-09-25T12:04:11Z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