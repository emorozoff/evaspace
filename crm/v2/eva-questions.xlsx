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к пользоваться" sheetId="1" state="visible" r:id="rId3"/>
    <sheet name="Клиентки (кастдев)" sheetId="2" state="visible" r:id="rId4"/>
    <sheet name="Эксперты" sheetId="3" state="visible" r:id="rId5"/>
    <sheet name="Партнёры" sheetId="4" state="visible" r:id="rId6"/>
    <sheet name="Амбассадоры" sheetId="5" state="visible" r:id="rId7"/>
    <sheet name="Списки" sheetId="6" state="hidden" r:id="rId8"/>
  </sheets>
  <definedNames>
    <definedName function="false" hidden="false" localSheetId="4" name="_xlnm.Print_Titles" vbProcedure="false">Амбассадоры!$4:$4</definedName>
    <definedName function="false" hidden="false" localSheetId="1" name="_xlnm.Print_Titles" vbProcedure="false">'Клиентки (кастдев)'!$4:$4</definedName>
    <definedName function="false" hidden="false" localSheetId="3" name="_xlnm.Print_Titles" vbProcedure="false">Партнёры!$4:$4</definedName>
    <definedName function="false" hidden="false" localSheetId="2" name="_xlnm.Print_Titles" vbProcedure="false">Эксперты!$4:$4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Как выглядят заполненные ответы: вымышленный человек из примера в CRM. Столбец можно удалить.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Как выглядят заполненные ответы: вымышленный человек из примера в CRM. Столбец можно удалить.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Как выглядят заполненные ответы: вымышленный человек из примера в CRM. Столбец можно удалить.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Как выглядят заполненные ответы: вымышленный человек из примера в CRM. Столбец можно удалить.</t>
        </r>
      </text>
    </comment>
  </commentList>
</comments>
</file>

<file path=xl/sharedStrings.xml><?xml version="1.0" encoding="utf-8"?>
<sst xmlns="http://schemas.openxmlformats.org/spreadsheetml/2006/main" count="967" uniqueCount="663">
  <si>
    <t xml:space="preserve">Вопросы Eva CRM — анкета, интервью и итог · кастдев 2.0</t>
  </si>
  <si>
    <t xml:space="preserve">Вкладки</t>
  </si>
  <si>
    <t xml:space="preserve">Клиентки (кастдев), Эксперты, Партнёры, Амбассадоры. На каждой три блока — как три шага в CRM: 1. Анкета → 2. Созвон → 3. Итог.</t>
  </si>
  <si>
    <t xml:space="preserve">Разделы</t>
  </si>
  <si>
    <t xml:space="preserve">Вопросы клиенток — по таблице «Вопросы V2»: анкета разбита на 8 разделов (знакомство, жизнь, состояние, время для себя, режим дня, контент, Ева, на связи), интервью — на 9 (от знакомства до «посоветовала бы подруге»). Сиреневые строки — названия разделов, как в CRM.</t>
  </si>
  <si>
    <t xml:space="preserve">Править вопросы</t>
  </si>
  <si>
    <t xml:space="preserve">Меняйте текст прямо в столбце «Вопрос», варианты — в «Варианты ответа». Новый вопрос — вставьте строку внутри нужного блока. Лишний — удалите строку.</t>
  </si>
  <si>
    <t xml:space="preserve">Вписывать ответы</t>
  </si>
  <si>
    <t xml:space="preserve">Жёлтые столбцы «Человек 1, 2, 3…» — один столбец на человека. Имя из первого вопроса анкеты само встанет в заголовок столбца.</t>
  </si>
  <si>
    <t xml:space="preserve">Как вписывать</t>
  </si>
  <si>
    <t xml:space="preserve">Один вариант — выберите из списка в ячейке или впишите свой. Несколько вариантов — через запятую. «Другое» — впишите свой вариант словами. Шкала — цифра (1–10 или 1–5, см. «Как отвечать»). Дата — 14.03.1991. У вопросов интервью с быстрыми метками — сначала метка, потом ответ.</t>
  </si>
  <si>
    <t xml:space="preserve">Пример</t>
  </si>
  <si>
    <t xml:space="preserve">Серый столбец «Пример» показывает, как выглядят заполненные ответы (вымышленный человек из демо в CRM). Его можно удалить.</t>
  </si>
  <si>
    <t xml:space="preserve">Ответили</t>
  </si>
  <si>
    <t xml:space="preserve">Столбец считается сам: сколько человек ответили на вопрос.</t>
  </si>
  <si>
    <t xml:space="preserve">Перенести в CRM</t>
  </si>
  <si>
    <t xml:space="preserve">Таблица с CRM не связана. Чтобы правка вопроса попала в анкету по ссылке, повторите её в CRM: «Вопросы» → значок карандаша у вопроса. Новые ссылки сразу будут с правкой.</t>
  </si>
  <si>
    <t xml:space="preserve">Сводка</t>
  </si>
  <si>
    <t xml:space="preserve">Группа</t>
  </si>
  <si>
    <t xml:space="preserve">Вопросов в анкете</t>
  </si>
  <si>
    <t xml:space="preserve">Вопросов для созвона</t>
  </si>
  <si>
    <t xml:space="preserve">Людей с анкетой</t>
  </si>
  <si>
    <t xml:space="preserve">Созвонов проведено</t>
  </si>
  <si>
    <t xml:space="preserve">Клиентки (кастдев)</t>
  </si>
  <si>
    <t xml:space="preserve">Эксперты</t>
  </si>
  <si>
    <t xml:space="preserve">Партнёры</t>
  </si>
  <si>
    <t xml:space="preserve">Амбассадоры</t>
  </si>
  <si>
    <t xml:space="preserve">Всего</t>
  </si>
  <si>
    <t xml:space="preserve">Справочно: 14 направлений экспертов</t>
  </si>
  <si>
    <t xml:space="preserve">🏋️‍♀️ Фитнес · 🤸‍♀️ Растяжка · 🧠 Психология · ☯️ Цигун · 💌 Аффирмации · 🌬 Медитация и дыхание · 👶 Для мам · 💄 Красота и здоровье · 🧭 Предназначение · 💗 Отношения · 🧘‍♀️ Йога · 🤰 Для беременных · 🌺 Женские практики · 💰 Финансы</t>
  </si>
  <si>
    <t xml:space="preserve">Категории партнёров</t>
  </si>
  <si>
    <t xml:space="preserve">💅 Салон красоты · 🤸‍♀️ Студия пилатеса · 🧘‍♀️ Йога-студия · 🏋️‍♀️ Фитнес-клуб · ✨ Косметология · 💆‍♀️ SPA и массаж · 🥗 Здоровое питание · 🧠 Психологический центр · 🏥 Женское здоровье · 👶 Центр для мам и детей · 🏠 Пространство для встреч · 🛍 Бренд для маркета · 🎤 Организатор мероприятий · ⭐ Спонсор · 📱 Медиа и блогеры · 📚 Образование</t>
  </si>
  <si>
    <t xml:space="preserve">🌸 Кастдев — клиентки</t>
  </si>
  <si>
    <t xml:space="preserve">Кастдев: что болит, что нравится и что улучшить в Еве. Три шага, как в CRM: Анкета → Интервью → Итог. Обращаемся на «ты».</t>
  </si>
  <si>
    <t xml:space="preserve">Жёлтые столбцы — для ответов, по одному на человека. Вопросы и варианты можно править прямо здесь.</t>
  </si>
  <si>
    <t xml:space="preserve">№</t>
  </si>
  <si>
    <t xml:space="preserve">Вопрос</t>
  </si>
  <si>
    <t xml:space="preserve">Как отвечать</t>
  </si>
  <si>
    <t xml:space="preserve">Варианты ответа / зачем спрашиваем</t>
  </si>
  <si>
    <t xml:space="preserve">1. АНКЕТА — человек заполняет сам по ссылке или вы за него</t>
  </si>
  <si>
    <t xml:space="preserve">🌸 Знакомство — имя, город, возраст · 5</t>
  </si>
  <si>
    <t xml:space="preserve">Как тебя зовут?</t>
  </si>
  <si>
    <t xml:space="preserve">Короткий ответ</t>
  </si>
  <si>
    <t xml:space="preserve">Подсказка в поле: Имя</t>
  </si>
  <si>
    <t xml:space="preserve">Ольга</t>
  </si>
  <si>
    <t xml:space="preserve">Твой EVA ID — если ты уже в приложении</t>
  </si>
  <si>
    <t xml:space="preserve">Короткий ответ · можно пропустить</t>
  </si>
  <si>
    <t xml:space="preserve">Подсказка в поле: Можно пропустить</t>
  </si>
  <si>
    <t xml:space="preserve">EVA-40210</t>
  </si>
  <si>
    <t xml:space="preserve">Когда у тебя день рождения?</t>
  </si>
  <si>
    <t xml:space="preserve">Дата</t>
  </si>
  <si>
    <t xml:space="preserve">Дата: 14.03.1991. Возраст посчитаем сами — в анкете он не нужен</t>
  </si>
  <si>
    <t xml:space="preserve">В каком городе ты живёшь?</t>
  </si>
  <si>
    <t xml:space="preserve">Подсказка в поле: Москва</t>
  </si>
  <si>
    <t xml:space="preserve">Москва</t>
  </si>
  <si>
    <t xml:space="preserve">Страна</t>
  </si>
  <si>
    <t xml:space="preserve">Один вариант</t>
  </si>
  <si>
    <t xml:space="preserve">Россия · Казахстан · Беларусь · Узбекистан · Грузия · Армения · Другая страна (впишите своё)</t>
  </si>
  <si>
    <t xml:space="preserve">Россия</t>
  </si>
  <si>
    <t xml:space="preserve">🏡 Жизнь сейчас — статус, занятость, ритм, этап · 4</t>
  </si>
  <si>
    <t xml:space="preserve">Твой социальный статус</t>
  </si>
  <si>
    <t xml:space="preserve">Замужем · В отношениях · Не в отношениях, открыта к знакомству · Одна — и это мой осознанный выбор · Разведена · Не хочу отвечать</t>
  </si>
  <si>
    <t xml:space="preserve">Замужем</t>
  </si>
  <si>
    <t xml:space="preserve">Как устроена твоя занятость?</t>
  </si>
  <si>
    <t xml:space="preserve">Работаю в офисе 5/2 · Работаю по сменам или графику 2/2 · Удалённо или гибрид · Свободный график, фриланс · Своё дело · В декрете · Сейчас не работаю · Учусь · Другое (впишите своё)</t>
  </si>
  <si>
    <t xml:space="preserve">Работаю в офисе 5/2</t>
  </si>
  <si>
    <t xml:space="preserve">Какой у тебя ритм жизни?</t>
  </si>
  <si>
    <t xml:space="preserve">Жаворонок — легко встаю рано · Сова — оживаю к вечеру · Где-то посередине · Свой режим, всё по ситуации · Режим скачет: дети, смены, перелёты</t>
  </si>
  <si>
    <t xml:space="preserve">Где-то посередине</t>
  </si>
  <si>
    <t xml:space="preserve">Какой у тебя сейчас этап жизни?</t>
  </si>
  <si>
    <t xml:space="preserve">Беременность · Мама малыша · Мама школьника · Карьера · Своё дело · Ищу своё направление · Просто хочу пожить для себя</t>
  </si>
  <si>
    <t xml:space="preserve">Мама малыша</t>
  </si>
  <si>
    <t xml:space="preserve">🌤 Состояние — энергия, настроение, что беспокоит · 5</t>
  </si>
  <si>
    <t xml:space="preserve">Какой у тебя сейчас уровень энергии?</t>
  </si>
  <si>
    <t xml:space="preserve">Шкала 1–10</t>
  </si>
  <si>
    <t xml:space="preserve">1 — на нуле … 10 — через край</t>
  </si>
  <si>
    <t xml:space="preserve">Насколько ты довольна своей жизнью сейчас?</t>
  </si>
  <si>
    <t xml:space="preserve">1 — совсем нет … 10 — полностью</t>
  </si>
  <si>
    <t xml:space="preserve">Как ты оцениваешь своё здоровье?</t>
  </si>
  <si>
    <t xml:space="preserve">1 — плохо … 10 — отлично</t>
  </si>
  <si>
    <t xml:space="preserve">Что беспокоит чаще всего? Выбери до двух</t>
  </si>
  <si>
    <t xml:space="preserve">Несколько вариантов (до 2)</t>
  </si>
  <si>
    <t xml:space="preserve">Тревога · Усталость и выгорание · Постоянно себя ругаю · Плохо сплю · Нет времени на себя · Одиночество · Другое (впишите своё)</t>
  </si>
  <si>
    <t xml:space="preserve">Нет времени на себя, Постоянно себя ругаю</t>
  </si>
  <si>
    <t xml:space="preserve">Какая сфера для тебя сейчас важнее всего?</t>
  </si>
  <si>
    <t xml:space="preserve">Спокойствие · Энергия и силы · Отношения · Деньги и своё дело · Тело и здоровье · Другое (впишите своё)</t>
  </si>
  <si>
    <t xml:space="preserve">Тело и здоровье</t>
  </si>
  <si>
    <t xml:space="preserve">⏳ Время для себя — сколько, когда, что уже пробовала · 5</t>
  </si>
  <si>
    <t xml:space="preserve">Сколько минут в день реально готова уделять себе?</t>
  </si>
  <si>
    <t xml:space="preserve">5–10 минут · 15–20 минут · 30 минут и больше</t>
  </si>
  <si>
    <t xml:space="preserve">15–20 минут</t>
  </si>
  <si>
    <t xml:space="preserve">Когда тебе удобнее заниматься собой?</t>
  </si>
  <si>
    <t xml:space="preserve">Утром · Днём · Вечером</t>
  </si>
  <si>
    <t xml:space="preserve">Вечером</t>
  </si>
  <si>
    <t xml:space="preserve">Что ты уже пробовала?</t>
  </si>
  <si>
    <t xml:space="preserve">Несколько вариантов</t>
  </si>
  <si>
    <t xml:space="preserve">Приложения медитаций · Йога или фитнес · Психолог · Онлайн-курсы · Марафоны блогеров · Пока ничего · Другое (впишите своё)</t>
  </si>
  <si>
    <t xml:space="preserve">Марафоны блогеров</t>
  </si>
  <si>
    <t xml:space="preserve">Сколько в месяц тратишь на себя: курсы, практики, спорт?</t>
  </si>
  <si>
    <t xml:space="preserve">Ничего · До 1 000 ₽ · 1 000–3 000 ₽ · 3 000–7 000 ₽ · Больше 7 000 ₽</t>
  </si>
  <si>
    <t xml:space="preserve">До 1 000 ₽</t>
  </si>
  <si>
    <t xml:space="preserve">Как тебе комфортнее меняться и проходить трансформации?</t>
  </si>
  <si>
    <t xml:space="preserve">С наставником · Самостоятельно · В группе, с поддержкой · По-разному</t>
  </si>
  <si>
    <t xml:space="preserve">По-разному</t>
  </si>
  <si>
    <t xml:space="preserve">☀️ Режим дня — сон, питание, телефон · 6</t>
  </si>
  <si>
    <t xml:space="preserve">Во сколько ты обычно просыпаешься?</t>
  </si>
  <si>
    <t xml:space="preserve">До 6:00 · 6:00–7:00 · 7:00–8:00 · 8:00–9:00 · После 9:00 · Каждый день по-разному</t>
  </si>
  <si>
    <t xml:space="preserve">Каждый день по-разному</t>
  </si>
  <si>
    <t xml:space="preserve">Во сколько ложишься спать?</t>
  </si>
  <si>
    <t xml:space="preserve">До 22:00 · 22:00–23:00 · 23:00–00:00 · 00:00–01:00 · После 01:00 · По-разному</t>
  </si>
  <si>
    <t xml:space="preserve">23:00–00:00</t>
  </si>
  <si>
    <t xml:space="preserve">Как обычно устроено твоё питание?</t>
  </si>
  <si>
    <t xml:space="preserve">Готовлю сама · Доставка еды · Кафе и рестораны · Перекусы на ходу · Готовит кто-то из семьи</t>
  </si>
  <si>
    <t xml:space="preserve">Готовлю сама</t>
  </si>
  <si>
    <t xml:space="preserve">Какой у тебя тип питания?</t>
  </si>
  <si>
    <t xml:space="preserve">Ем всё · Вегетарианка · Веганка · Пескетарианка · Фрукторианка · Слежу: ПП, без сахара или глютена · Другое (впишите своё)</t>
  </si>
  <si>
    <t xml:space="preserve">Пескетарианка</t>
  </si>
  <si>
    <t xml:space="preserve">Сколько времени в день ты проводишь в телефоне?</t>
  </si>
  <si>
    <t xml:space="preserve">До 2 часов · 2–4 часа · 4–6 часов · Больше 6 часов · Не знаю</t>
  </si>
  <si>
    <t xml:space="preserve">2–4 часа</t>
  </si>
  <si>
    <t xml:space="preserve">Пользуешься ли трекерами здоровья?</t>
  </si>
  <si>
    <t xml:space="preserve">Apple Watch · Whoop · Garmin · Фитнес-браслет · Умное кольцо · Нет, ничего</t>
  </si>
  <si>
    <t xml:space="preserve">Apple Watch</t>
  </si>
  <si>
    <t xml:space="preserve">📱 Контент — где и как смотришь полезное · 5</t>
  </si>
  <si>
    <t xml:space="preserve">Где ты чаще всего смотришь полезный контент?</t>
  </si>
  <si>
    <t xml:space="preserve">Telegram · YouTube · Instagram* · ВКонтакте · Подкасты · Приложения · TikTok · Дзен · Другое (впишите своё)</t>
  </si>
  <si>
    <t xml:space="preserve">Instagram*, ВКонтакте</t>
  </si>
  <si>
    <t xml:space="preserve">Какая длина видео или аудио комфортна тебе в будний день?</t>
  </si>
  <si>
    <t xml:space="preserve">До 5 минут · 5–15 минут · 15–30 минут · 30–60 минут · Больше часа</t>
  </si>
  <si>
    <t xml:space="preserve">До 5 минут</t>
  </si>
  <si>
    <t xml:space="preserve">Ускоряешь видео и подкасты?</t>
  </si>
  <si>
    <t xml:space="preserve">Нет, смотрю как есть · Да, 1,25–1,5× · Да, 1,75–2× · Зависит от спикера</t>
  </si>
  <si>
    <t xml:space="preserve">Да, 1,25–1,5×</t>
  </si>
  <si>
    <t xml:space="preserve">Какая подача помогает тебе сразу применить материал? Выбери до двух</t>
  </si>
  <si>
    <t xml:space="preserve">Пошаговая инструкция · Чек-лист · Медитация или практика · Упражнение на 5 минут · Глубокая лекция</t>
  </si>
  <si>
    <t xml:space="preserve">Медитация или практика, Глубокая лекция</t>
  </si>
  <si>
    <t xml:space="preserve">Важно ли тебе задать вопрос эксперту?</t>
  </si>
  <si>
    <t xml:space="preserve">Да, важно, чтобы ответили · Иногда · Нет, хватит выжимки</t>
  </si>
  <si>
    <t xml:space="preserve">Иногда</t>
  </si>
  <si>
    <t xml:space="preserve">💜 Ева — что интересно и сколько стоит · 2</t>
  </si>
  <si>
    <t xml:space="preserve">Что было бы интересно в Еве? Выбери до трёх</t>
  </si>
  <si>
    <t xml:space="preserve">Несколько вариантов (до 3)</t>
  </si>
  <si>
    <t xml:space="preserve">Короткие практики · Мастер-классы экспертов · Курсы · Живые эфиры · Сообщество · Офлайн-встречи · Ева — ИИ-помощница · Календарь цикла</t>
  </si>
  <si>
    <t xml:space="preserve">Короткие практики, Сообщество, Ева — ИИ-помощница</t>
  </si>
  <si>
    <t xml:space="preserve">Сколько было бы комфортно платить за подписку в месяц?</t>
  </si>
  <si>
    <t xml:space="preserve">До 500 ₽ · 500–1 500 ₽ · 1 500–3 000 ₽ · Больше 3 000 ₽</t>
  </si>
  <si>
    <t xml:space="preserve">1 500–3 000 ₽</t>
  </si>
  <si>
    <t xml:space="preserve">📲 На связи — как договориться о звонке · 3</t>
  </si>
  <si>
    <t xml:space="preserve">Откуда ты узнала о Еве?</t>
  </si>
  <si>
    <t xml:space="preserve">Telegram · ВКонтакте · Блогер · Подруга · Эксперт · Студия или салон · Мероприятие · Другое (впишите своё)</t>
  </si>
  <si>
    <t xml:space="preserve">Подруга</t>
  </si>
  <si>
    <t xml:space="preserve">Готова созвониться на 30 минут в Zoom? Нам очень важно твоё мнение</t>
  </si>
  <si>
    <t xml:space="preserve">Да, в будни днём · Да, в будни вечером · Да, в выходные · Лучше перепишемся · Нет, спасибо</t>
  </si>
  <si>
    <t xml:space="preserve">Да, в выходные</t>
  </si>
  <si>
    <t xml:space="preserve">Твой Telegram или телефон — чтобы договориться о звонке</t>
  </si>
  <si>
    <t xml:space="preserve">Подсказка в поле: @username или +7…</t>
  </si>
  <si>
    <t xml:space="preserve">@olga</t>
  </si>
  <si>
    <t xml:space="preserve">2. ИНТЕРВЬЮ — открытые вопросы для Zoom, 20–30 минут. Записывайте коротко, своими словами</t>
  </si>
  <si>
    <t xml:space="preserve">Дата созвона</t>
  </si>
  <si>
    <t xml:space="preserve">Например: 25.09.2026</t>
  </si>
  <si>
    <t xml:space="preserve">Кто вёл</t>
  </si>
  <si>
    <t xml:space="preserve">Имя из команды</t>
  </si>
  <si>
    <t xml:space="preserve">Знакомство · 1</t>
  </si>
  <si>
    <t xml:space="preserve">Кем ты работаешь? Расскажи коротко, чем занимаешься.</t>
  </si>
  <si>
    <t xml:space="preserve">Открытый ответ</t>
  </si>
  <si>
    <t xml:space="preserve">Зачем: Какая нагрузка и сколько свободы в дне</t>
  </si>
  <si>
    <t xml:space="preserve">Работаю в IT удалённо, продакт. Двое детей, муж много в командировках.</t>
  </si>
  <si>
    <t xml:space="preserve">Точка А · 3</t>
  </si>
  <si>
    <t xml:space="preserve">Если бы твоя жизнь сейчас была погодой — какая это погода за окном?</t>
  </si>
  <si>
    <t xml:space="preserve">Открытый ответ + метки</t>
  </si>
  <si>
    <t xml:space="preserve">Зачем: Состояние одной картинкой. Отметьте погоду кнопкой — она уйдёт в статистику
Быстрые метки: Солнечно · Переменная облачность · Пасмурно · Дождь · Гроза · Туман · Снег и тишина · Ветер, всё меняется</t>
  </si>
  <si>
    <t xml:space="preserve">Переменная облачность · Туман — не понимаю, куда иду и чего хочу.</t>
  </si>
  <si>
    <t xml:space="preserve">Что тебя сейчас беспокоит больше всего?</t>
  </si>
  <si>
    <t xml:space="preserve">Зачем: Настоящая боль своими словами</t>
  </si>
  <si>
    <t xml:space="preserve">Ругаю себя за всё: что мало с ребёнком, что поправилась, что не работаю.</t>
  </si>
  <si>
    <t xml:space="preserve">Какой твой самый актуальный запрос на сегодня? Чего хочется добиться?</t>
  </si>
  <si>
    <t xml:space="preserve">Зачем: С чем Ева должна помочь в первую очередь</t>
  </si>
  <si>
    <t xml:space="preserve">Хочу перестать жить на автопилоте и найти 20 минут в день только для себя.</t>
  </si>
  <si>
    <t xml:space="preserve">Утро и день · 6</t>
  </si>
  <si>
    <t xml:space="preserve">Что ты делаешь в первые 15–30 минут после пробуждения? Есть любимые утренние ритуалы, свои «кайфушки»?</t>
  </si>
  <si>
    <t xml:space="preserve">Зачем: Окно для утренней практики и что уже радует</t>
  </si>
  <si>
    <t xml:space="preserve">Сразу дети, завтраки, сборы. Кайфушка — душ с любимым гелем.</t>
  </si>
  <si>
    <t xml:space="preserve">Что повышает тебе настроение?</t>
  </si>
  <si>
    <t xml:space="preserve">Зачем: Источники радости — для контента и пушей</t>
  </si>
  <si>
    <t xml:space="preserve">Разговор с подругой и что-то новое — книга, место.</t>
  </si>
  <si>
    <t xml:space="preserve">Успеваешь уделять время себе утром — или день сразу начинается с суеты?</t>
  </si>
  <si>
    <t xml:space="preserve">Зачем: Есть ли место для утренней программы</t>
  </si>
  <si>
    <t xml:space="preserve">Нет, день сразу начинается с суеты.</t>
  </si>
  <si>
    <t xml:space="preserve">Опиши свой обычный день от обеда до вечера.</t>
  </si>
  <si>
    <t xml:space="preserve">Зачем: Где в дне паузы и свободные минуты</t>
  </si>
  <si>
    <t xml:space="preserve">Работаю до семи, дорога час, вечером готовлю на завтра.</t>
  </si>
  <si>
    <t xml:space="preserve">Бывают ли у тебя паузы в течение дня? Чем ты их заполняешь — Reels, чай, прогулка?</t>
  </si>
  <si>
    <t xml:space="preserve">Зачем: С чем Ева конкурирует за 5 минут внимания</t>
  </si>
  <si>
    <t xml:space="preserve">Гуляю с коляской — это и есть пауза, слушаю подкасты.</t>
  </si>
  <si>
    <t xml:space="preserve">В какие моменты ты слушаешь подкасты или музыку?</t>
  </si>
  <si>
    <t xml:space="preserve">Зачем: Где к месту аудиопрактики</t>
  </si>
  <si>
    <t xml:space="preserve">В машине и на прогулке с собакой.</t>
  </si>
  <si>
    <t xml:space="preserve">Вечер и сон · 3</t>
  </si>
  <si>
    <t xml:space="preserve">Легко ли тебе уснуть? Что мешает?</t>
  </si>
  <si>
    <t xml:space="preserve">Зачем: Сон — частая боль: нужен ли вечерний ритуал</t>
  </si>
  <si>
    <t xml:space="preserve">Падаю и сразу сплю, но просыпаюсь ночью.</t>
  </si>
  <si>
    <t xml:space="preserve">Как выглядит твой идеальный вечер — и как реальный?</t>
  </si>
  <si>
    <t xml:space="preserve">Зачем: Разрыв между желаемым и тем, как есть</t>
  </si>
  <si>
    <t xml:space="preserve">Идеальный — ужин с мужем без телефонов. Реальный — каждый в своём экране.</t>
  </si>
  <si>
    <t xml:space="preserve">Что помогает тебе переключиться с работы и семьи на отдых?</t>
  </si>
  <si>
    <t xml:space="preserve">Зачем: Готовые ритуалы перехода</t>
  </si>
  <si>
    <t xml:space="preserve">Душ и смена одежды — как ритуал «работа закончилась».</t>
  </si>
  <si>
    <t xml:space="preserve">Ресурсы: чего хватает и не хватает · 8</t>
  </si>
  <si>
    <t xml:space="preserve">В какие моменты дня или недели ты чувствуешь себя максимально счастливой и наполненной?</t>
  </si>
  <si>
    <t xml:space="preserve">Зачем: Откуда берётся ресурс</t>
  </si>
  <si>
    <t xml:space="preserve">Когда занимаюсь спортом — потом весь день другой.</t>
  </si>
  <si>
    <t xml:space="preserve">Что сейчас больше всего забирает твои силы или настроение? Когда это было в последний раз?</t>
  </si>
  <si>
    <t xml:space="preserve">Зачем: Конкретный случай, а не общие слова</t>
  </si>
  <si>
    <t xml:space="preserve">Бытовые мелочи, которые никто кроме меня не видит.</t>
  </si>
  <si>
    <t xml:space="preserve">Когда ты последний раз специально делала что-то для себя — практику, спорт, курс? Как это было?</t>
  </si>
  <si>
    <t xml:space="preserve">Зачем: Реальное поведение, а не намерения</t>
  </si>
  <si>
    <t xml:space="preserve">Месяц назад ходила на пилатес, потом отпуск — и выпала.</t>
  </si>
  <si>
    <t xml:space="preserve">Какими приложениями, каналами или курсами «про себя» ты пользуешься? За что платила последний раз и сколько?</t>
  </si>
  <si>
    <t xml:space="preserve">Зачем: Конкуренты и реальный чек</t>
  </si>
  <si>
    <t xml:space="preserve">Последний раз купила курс за 7 900 — прошла половину.</t>
  </si>
  <si>
    <t xml:space="preserve">Какая сфера твоей жизни сейчас закрыта лучше всего?</t>
  </si>
  <si>
    <t xml:space="preserve">Зачем: Опора, на которую можно строить</t>
  </si>
  <si>
    <t xml:space="preserve">Дружба: у меня классные подруги.</t>
  </si>
  <si>
    <t xml:space="preserve">За что ты благодарна своему нынешнему образу жизни?</t>
  </si>
  <si>
    <t xml:space="preserve">Зачем: Что человек ценит и боится потерять</t>
  </si>
  <si>
    <t xml:space="preserve">За гибкий график и то, что дети рядом.</t>
  </si>
  <si>
    <t xml:space="preserve">Чего тебе больше всего не хватает в повседневной жизни — времени на себя, общения, эстетики, дисциплины, тишины?</t>
  </si>
  <si>
    <t xml:space="preserve">Зачем: Дефицит, который Ева может закрыть</t>
  </si>
  <si>
    <t xml:space="preserve">Дисциплины — всё начинаю и бросаю.</t>
  </si>
  <si>
    <t xml:space="preserve">Если бы в твоём дне появился лишний час только для себя — на что бы ты его потратила?</t>
  </si>
  <si>
    <t xml:space="preserve">Зачем: Желаемое поведение — подсказка для программы</t>
  </si>
  <si>
    <t xml:space="preserve">Почитала бы и помедитировала.</t>
  </si>
  <si>
    <t xml:space="preserve">Где и как смотрит контент · 7</t>
  </si>
  <si>
    <t xml:space="preserve">Как ты смотришь полезный контент: выделяешь время и сидишь с блокнотом, включаешь фоном за готовкой или в зале, слушаешь в дороге?</t>
  </si>
  <si>
    <t xml:space="preserve">Зачем: Как подавать: смотреть или слушать</t>
  </si>
  <si>
    <t xml:space="preserve">Слушаю в дороге и за готовкой, с блокнотом не сажусь никогда.</t>
  </si>
  <si>
    <t xml:space="preserve">Вспомни своё самое любимое приложение на телефоне. Почему именно оно? За что ты его ценишь?</t>
  </si>
  <si>
    <t xml:space="preserve">Зачем: Ориентир по удобству</t>
  </si>
  <si>
    <t xml:space="preserve">Duolingo: маленькие шаги и стрик, приятно не терять.</t>
  </si>
  <si>
    <t xml:space="preserve">Что тебя больше всего раздражает в приложениях — из-за чего сразу закрываешь или удаляешь?</t>
  </si>
  <si>
    <t xml:space="preserve">Зачем: Чего не делать в Еве</t>
  </si>
  <si>
    <t xml:space="preserve">Сложно найти, где мои мастер-классы — много разделов.</t>
  </si>
  <si>
    <t xml:space="preserve">Как ты относишься к push-уведомлениям? Какие бесят, а какие реально помогают?</t>
  </si>
  <si>
    <t xml:space="preserve">Зачем: Пуши, которые не раздражают</t>
  </si>
  <si>
    <t xml:space="preserve">Бесят «вернись к нам», помогают напоминания о том, что я сама поставила.</t>
  </si>
  <si>
    <t xml:space="preserve">Бывает ли у тебя ощущение перегруза? Что его вызывает?</t>
  </si>
  <si>
    <t xml:space="preserve">Зачем: Сколько контента — это уже много</t>
  </si>
  <si>
    <t xml:space="preserve">Когда всё срочно и одновременно.</t>
  </si>
  <si>
    <t xml:space="preserve">Сохраняешь ли ты полезное «на потом»? Как часто к нему возвращаешься?</t>
  </si>
  <si>
    <t xml:space="preserve">Зачем: Нужна ли «Моя полка» и напоминания</t>
  </si>
  <si>
    <t xml:space="preserve">Не сохраняю — либо сразу, либо никогда.</t>
  </si>
  <si>
    <t xml:space="preserve">Что помогает тебе не просто посмотреть урок, а реально внедрить совет в жизнь — трекеры, шпаргалки, задания?</t>
  </si>
  <si>
    <t xml:space="preserve">Зачем: Механика внедрения в программе</t>
  </si>
  <si>
    <t xml:space="preserve">Задание на день и галочка, что сделала.</t>
  </si>
  <si>
    <t xml:space="preserve">Формат и эксперты · 6</t>
  </si>
  <si>
    <t xml:space="preserve">Опиши идеальное обучающее видео для себя: где оно снято, сколько длится, как говорит спикер?</t>
  </si>
  <si>
    <t xml:space="preserve">Зачем: Бриф для съёмок</t>
  </si>
  <si>
    <t xml:space="preserve">Как разговор с подругой, без пафоса, 15 минут максимум.</t>
  </si>
  <si>
    <t xml:space="preserve">За какой контент — курсы, гайды, подписки, вебинары — за последний год тебе было совсем не жалко денег? Почему?</t>
  </si>
  <si>
    <t xml:space="preserve">Зачем: За что реально платят</t>
  </si>
  <si>
    <t xml:space="preserve">Подписка на книги — слушаю каждый день.</t>
  </si>
  <si>
    <t xml:space="preserve">Как ты выбираешь «своего» эксперта? Как понимаешь, что ему можно доверять?</t>
  </si>
  <si>
    <t xml:space="preserve">Зачем: Как подбирать и показывать экспертов</t>
  </si>
  <si>
    <t xml:space="preserve">Смотрю на образование и живые отзывы, а не на количество подписчиков.</t>
  </si>
  <si>
    <t xml:space="preserve">Представь, что в приложении всего 3 раздела. Без каких тем ты бы его точно не скачала?</t>
  </si>
  <si>
    <t xml:space="preserve">Зачем: Ядро продукта</t>
  </si>
  <si>
    <t xml:space="preserve">Отношения, деньги, энергия.</t>
  </si>
  <si>
    <t xml:space="preserve">На кого из известных женщин, спикеров или блогеров ты подписана и кого регулярно слушаешь? За что ты их ценишь?</t>
  </si>
  <si>
    <t xml:space="preserve">Зачем: Кого звать в эксперты и амбассадоры</t>
  </si>
  <si>
    <t xml:space="preserve">Слушаю Ирину Хакамаду — за спокойствие и опыт.</t>
  </si>
  <si>
    <t xml:space="preserve">Что быстрее привлекает твоё внимание: красивый «кинематографичный» кадр или динамичный разбор на доске или с презентацией?</t>
  </si>
  <si>
    <t xml:space="preserve">Зачем: Визуальный стиль роликов</t>
  </si>
  <si>
    <t xml:space="preserve">Красивый кадр цепляет, но остаюсь из-за смысла.</t>
  </si>
  <si>
    <t xml:space="preserve">Механика трансформации · 2</t>
  </si>
  <si>
    <t xml:space="preserve">Вспомни момент, когда ты по-настоящему изменила привычку или взгляд на вещи. Что именно тебе помогло?</t>
  </si>
  <si>
    <t xml:space="preserve">Зачем: Что реально запускает перемены</t>
  </si>
  <si>
    <t xml:space="preserve">Начала бегать после разговора с врачом — испугалась.</t>
  </si>
  <si>
    <t xml:space="preserve">Как ты понимаешь, что прошла через трансформацию: изменилось состояние, появились результаты в деньгах или отношениях, стало легко на душе?</t>
  </si>
  <si>
    <t xml:space="preserve">Зачем: Как измерять результат в Еве</t>
  </si>
  <si>
    <t xml:space="preserve">Когда окружающие говорят, что я изменилась.</t>
  </si>
  <si>
    <t xml:space="preserve">Рекомендации · 1</t>
  </si>
  <si>
    <t xml:space="preserve">Что должно произойти, чтобы ты сказала подруге «попробуй Еву»? Кому бы ты её посоветовала?</t>
  </si>
  <si>
    <t xml:space="preserve">Зачем: Рекомендации и реферальная программа</t>
  </si>
  <si>
    <t xml:space="preserve">Если реально поможет со сном — посоветую сестре и подругам из мамского чата.</t>
  </si>
  <si>
    <t xml:space="preserve">+</t>
  </si>
  <si>
    <t xml:space="preserve">Что ещё важного прозвучало</t>
  </si>
  <si>
    <t xml:space="preserve">Всё, что не попало в вопросы</t>
  </si>
  <si>
    <t xml:space="preserve">3. ИТОГ — сразу после созвона</t>
  </si>
  <si>
    <t xml:space="preserve">Что услышали (метки)</t>
  </si>
  <si>
    <t xml:space="preserve">⏳ Нет времени · 💸 Дорого · 📱 Неудобно в приложении · 🔔 Бесят пуши · 🎓 Хочет экспертов · 👭 Хочет сообщество · 🏠 Хочет офлайн · 🧘‍♀️ Любит короткие практики · 🌙 Проблемы со сном · 🤖 Нравится Ева-помощница · 💡 Идея фичи · ❤️ Готова рекомендовать</t>
  </si>
  <si>
    <t xml:space="preserve">⏳ Нет времени, 🧘‍♀️ Любит короткие практики, 🔔 Бесят пуши</t>
  </si>
  <si>
    <t xml:space="preserve">Главный инсайт — одной фразой</t>
  </si>
  <si>
    <t xml:space="preserve">Развёрнутый ответ</t>
  </si>
  <si>
    <t xml:space="preserve">Например: бросает практики, когда болеет ребёнок — нужен режим «пауза без чувства вины»</t>
  </si>
  <si>
    <t xml:space="preserve">Бросает, когда пропускает пару дней и «сгорают» звёзды — нужен режим паузы без чувства вины.</t>
  </si>
  <si>
    <t xml:space="preserve">Что улучшить в Еве</t>
  </si>
  <si>
    <t xml:space="preserve">Идеи и просьбы</t>
  </si>
  <si>
    <t xml:space="preserve">Режим «5 минут», пуши вечером, пауза для звёзд.</t>
  </si>
  <si>
    <t xml:space="preserve">Статус</t>
  </si>
  <si>
    <t xml:space="preserve">Инсайты собраны · Готова помогать ещё</t>
  </si>
  <si>
    <t xml:space="preserve">Инсайты собраны</t>
  </si>
  <si>
    <t xml:space="preserve">🎓 Эксперты</t>
  </si>
  <si>
    <t xml:space="preserve">Подключаем экспертов: что снимаем, когда и на каких условиях. Три шага, как в CRM: Анкета → Созвон → Итог. Обращаемся на «вы».</t>
  </si>
  <si>
    <t xml:space="preserve">Как вас зовут? ✨</t>
  </si>
  <si>
    <t xml:space="preserve">Подсказка в поле: Имя и фамилия</t>
  </si>
  <si>
    <t xml:space="preserve">Марина Ясная</t>
  </si>
  <si>
    <t xml:space="preserve">Ваш город 📍</t>
  </si>
  <si>
    <t xml:space="preserve">Ваше направление в Еве — выберите до трёх</t>
  </si>
  <si>
    <t xml:space="preserve">🏋️‍♀️ Фитнес · 🤸‍♀️ Растяжка · 🧠 Психология · ☯️ Цигун · 💌 Аффирмации · 🌬 Медитация и дыхание · 👶 Для мам · 💄 Красота и здоровье · 🧭 Предназначение · 💗 Отношения · 🧘‍♀️ Йога · 🤰 Для беременных · 🌺 Женские практики · 💰 Финансы · ✨ Другое</t>
  </si>
  <si>
    <t xml:space="preserve">🧠 Психология</t>
  </si>
  <si>
    <t xml:space="preserve">В какой теме вы эксперт? Одной фразой</t>
  </si>
  <si>
    <t xml:space="preserve">Подсказка в поле: Например: дыхание при тревоге</t>
  </si>
  <si>
    <t xml:space="preserve">Самокритика и внутренний критик</t>
  </si>
  <si>
    <t xml:space="preserve">Сколько лет в профессии?</t>
  </si>
  <si>
    <t xml:space="preserve">до года · 1–3 года · 3–5 лет · 5–10 лет · больше 10 лет</t>
  </si>
  <si>
    <t xml:space="preserve">3–5 лет</t>
  </si>
  <si>
    <t xml:space="preserve">Образование по профилю 🎓</t>
  </si>
  <si>
    <t xml:space="preserve">Диплом по профилю · Сертификаты и курсы · Большая практика без документов</t>
  </si>
  <si>
    <t xml:space="preserve">Сертификаты и курсы</t>
  </si>
  <si>
    <t xml:space="preserve">Что у вас уже есть? 📦</t>
  </si>
  <si>
    <t xml:space="preserve">🎬 Записанный курс · 📡 Живой курс или марафон · 🎓 Мастер-классы · 🧘‍♀️ Практики и медитации · 💬 Консультации · 🏠 Офлайн-встречи и ретриты · ✨ Пока ничего</t>
  </si>
  <si>
    <t xml:space="preserve">✨ Пока ничего, 🏠 Офлайн-встречи и ретриты, 📡 Живой курс или марафон, 💬 Консультации</t>
  </si>
  <si>
    <t xml:space="preserve">Хотите снять курс вместе с Евой? 🎥</t>
  </si>
  <si>
    <t xml:space="preserve">🔥 Да, уже есть идея · 🤔 Возможно, обсудим · 📦 Есть готовый — хочу разместить · 🙅‍♀️ Пока нет</t>
  </si>
  <si>
    <t xml:space="preserve">🔥 Да, уже есть идея</t>
  </si>
  <si>
    <t xml:space="preserve">Что можем записать с вами? 🎬</t>
  </si>
  <si>
    <t xml:space="preserve">💌 Послания и аффирмации (1–2 мин) · 🧘‍♀️ Короткие практики (5–15 мин) · 🎓 Мастер-класс (20–40 мин) · 📚 Курс · 📡 Эфир или вопрос-ответ · 🏠 Офлайн-встречу</t>
  </si>
  <si>
    <t xml:space="preserve">🏠 Офлайн-встречу, 🧘‍♀️ Короткие практики (5–15 мин), 💌 Послания и аффирмации (1–2 мин), 📚 Курс</t>
  </si>
  <si>
    <t xml:space="preserve">Где удобнее снимать?</t>
  </si>
  <si>
    <t xml:space="preserve">🏙 Приеду в студию в Москве · 🎥 Есть своя качественная съёмка · 💻 Только онлайн · 🤝 Обсудим</t>
  </si>
  <si>
    <t xml:space="preserve">💻 Только онлайн</t>
  </si>
  <si>
    <t xml:space="preserve">Сколько времени готовы выделить на съёмки? 📅</t>
  </si>
  <si>
    <t xml:space="preserve">1 день · 2–3 дня · Регулярно, раз в месяц</t>
  </si>
  <si>
    <t xml:space="preserve">Регулярно, раз в месяц</t>
  </si>
  <si>
    <t xml:space="preserve">Ваша аудитория в соцсетях 👥</t>
  </si>
  <si>
    <t xml:space="preserve">Пока нет · До 1 тыс. · 1–10 тыс. · 10–50 тыс. · Больше 50 тыс.</t>
  </si>
  <si>
    <t xml:space="preserve">10–50 тыс.</t>
  </si>
  <si>
    <t xml:space="preserve">Где ваша аудитория?</t>
  </si>
  <si>
    <t xml:space="preserve">Telegram · ВКонтакте · YouTube · Instagram* · Дзен · Офлайн</t>
  </si>
  <si>
    <t xml:space="preserve">Instagram*, Офлайн</t>
  </si>
  <si>
    <t xml:space="preserve">Какой формат сотрудничества интересен? 🤝</t>
  </si>
  <si>
    <t xml:space="preserve">💰 Доля с продаж курсов · 💵 Фикс за съёмку · 💬 Консультации через Еву · 📣 Продвижение моего бренда · 🤷‍♀️ Всё обсуждаемо</t>
  </si>
  <si>
    <t xml:space="preserve">💰 Доля с продаж курсов, 💵 Фикс за съёмку</t>
  </si>
  <si>
    <t xml:space="preserve">Сколько стоит ваша консультация?</t>
  </si>
  <si>
    <t xml:space="preserve">До 3 000 ₽ · 3 000–6 000 ₽ · 6 000–10 000 ₽ · Больше 10 000 ₽ · Не консультирую</t>
  </si>
  <si>
    <t xml:space="preserve">6 000–10 000 ₽</t>
  </si>
  <si>
    <t xml:space="preserve">Где посмотреть на вашу работу? 🔗</t>
  </si>
  <si>
    <t xml:space="preserve">Подсказка в поле: Ссылка на канал или сайт</t>
  </si>
  <si>
    <t xml:space="preserve">t.me/marina</t>
  </si>
  <si>
    <t xml:space="preserve">Telegram или телефон для связи 📲</t>
  </si>
  <si>
    <t xml:space="preserve">@marina</t>
  </si>
  <si>
    <t xml:space="preserve">2. СОЗВОН — открытые вопросы для Zoom, 20–30 минут. Записывайте коротко, своими словами</t>
  </si>
  <si>
    <t xml:space="preserve">С чем к вам чаще всего приходят женщины? Какой результат они получают?</t>
  </si>
  <si>
    <t xml:space="preserve">Зачем: Ценность эксперта для нашей аудитории</t>
  </si>
  <si>
    <t xml:space="preserve">С тревогой и ощущением «я плохая мама». Через месяц практик — спокойнее реагируют и лучше спят.</t>
  </si>
  <si>
    <t xml:space="preserve">Как сейчас устроена ваша работа: откуда клиенты, что продаёте, что приносит больше всего?</t>
  </si>
  <si>
    <t xml:space="preserve">Зачем: Бизнес эксперта и его мотивация</t>
  </si>
  <si>
    <t xml:space="preserve">Какие продукты у вас уже есть — курсы, мастер-классы, практики? Что лучше всего покупают?</t>
  </si>
  <si>
    <t xml:space="preserve">Зачем: Готовый контент для Евы</t>
  </si>
  <si>
    <t xml:space="preserve">Есть курс из 6 уроков и 10 практик. Лучше всего покупают короткие практики по 10 минут.</t>
  </si>
  <si>
    <t xml:space="preserve">Что вы давно хотели снять, но пока не сняли? Что мешает?</t>
  </si>
  <si>
    <t xml:space="preserve">Зачем: Идеи для совместных съёмок</t>
  </si>
  <si>
    <t xml:space="preserve">Давно хочу снять курс про утренние ритуалы — нет оператора и времени на монтаж.</t>
  </si>
  <si>
    <t xml:space="preserve">Какой опыт был с онлайн-школами и платформами? Что понравилось, что нет?</t>
  </si>
  <si>
    <t xml:space="preserve">Зачем: Ожидания и страхи</t>
  </si>
  <si>
    <t xml:space="preserve">Как вы относитесь к коротким форматам: практика на 7 минут, послание на 1 минуту?</t>
  </si>
  <si>
    <t xml:space="preserve">Зачем: Подходит ли формат Евы</t>
  </si>
  <si>
    <t xml:space="preserve">Короткие форматы люблю: люди реально их делают.</t>
  </si>
  <si>
    <t xml:space="preserve">Кто ваш идеальный клиент? Похож ли он на наших участниц — женщины 25–45?</t>
  </si>
  <si>
    <t xml:space="preserve">Зачем: Совпадение аудиторий</t>
  </si>
  <si>
    <t xml:space="preserve">Какие темы в вашем направлении сейчас спрашивают чаще всего?</t>
  </si>
  <si>
    <t xml:space="preserve">Зачем: Темы курсов с гарантированным спросом</t>
  </si>
  <si>
    <t xml:space="preserve">Сколько времени в месяц вы готовы отдавать Еве: съёмки, эфиры, ответы в сообществе?</t>
  </si>
  <si>
    <t xml:space="preserve">Зачем: Реальная загрузка</t>
  </si>
  <si>
    <t xml:space="preserve">Могу два съёмочных дня в месяц и эфир раз в две недели.</t>
  </si>
  <si>
    <t xml:space="preserve">Что для вас важно в сотрудничестве: деньги, аудитория, бренд, свобода?</t>
  </si>
  <si>
    <t xml:space="preserve">Зачем: На чём строить условия</t>
  </si>
  <si>
    <t xml:space="preserve">Важно, чтобы меня указывали как автора и была прозрачная отчётность по продажам.</t>
  </si>
  <si>
    <t xml:space="preserve">Готовы рассказать своей аудитории про Еву? Как бы вы это сделали?</t>
  </si>
  <si>
    <t xml:space="preserve">Зачем: Эксперт как канал привлечения</t>
  </si>
  <si>
    <t xml:space="preserve">Да, расскажу в канале и в сторис — у меня 12 тысяч подписчиц.</t>
  </si>
  <si>
    <t xml:space="preserve">Что должно быть в договоре, чтобы вам было спокойно?</t>
  </si>
  <si>
    <t xml:space="preserve">Зачем: Снять страхи заранее</t>
  </si>
  <si>
    <t xml:space="preserve">Кого из коллег вы бы нам порекомендовали?</t>
  </si>
  <si>
    <t xml:space="preserve">Зачем: Следующие эксперты</t>
  </si>
  <si>
    <t xml:space="preserve">Решение</t>
  </si>
  <si>
    <t xml:space="preserve">Подключаем · Думает · Не сейчас</t>
  </si>
  <si>
    <t xml:space="preserve">Подключаем</t>
  </si>
  <si>
    <t xml:space="preserve">О чём договорились</t>
  </si>
  <si>
    <t xml:space="preserve">💌 Послания · 🧘‍♀️ Практики · 🎓 Мастер-класс · 📚 Курс · 📡 Эфир · 🏠 Офлайн-встреча · 📦 Готовый курс · 📣 Расскажет аудитории</t>
  </si>
  <si>
    <t xml:space="preserve">🎓 Мастер-класс, 📚 Курс, 📣 Расскажет аудитории</t>
  </si>
  <si>
    <t xml:space="preserve">Следующий шаг</t>
  </si>
  <si>
    <t xml:space="preserve">Например: съёмка 3 практик</t>
  </si>
  <si>
    <t xml:space="preserve">Съёмка мастер-класса «Как перестать себя ругать»</t>
  </si>
  <si>
    <t xml:space="preserve">Когда</t>
  </si>
  <si>
    <t xml:space="preserve">Например: 10.10.2026</t>
  </si>
  <si>
    <t xml:space="preserve">Заметка</t>
  </si>
  <si>
    <t xml:space="preserve">Условия, договорённости, что важно помнить</t>
  </si>
  <si>
    <t xml:space="preserve">Доля 70/30 ок. Хочет курс из 6 уроков к декабрю.</t>
  </si>
  <si>
    <t xml:space="preserve">🤝 Партнёры</t>
  </si>
  <si>
    <t xml:space="preserve">Салоны, студии и бренды: взаимный промо и спецпредложения. Три шага, как в CRM: Анкета → Встреча → Итог. Обращаемся на «вы».</t>
  </si>
  <si>
    <t xml:space="preserve">Как называется ваша компания? 🏷</t>
  </si>
  <si>
    <t xml:space="preserve">Подсказка в поле: Студия «Баланс»</t>
  </si>
  <si>
    <t xml:space="preserve">Салон «Лаванда»</t>
  </si>
  <si>
    <t xml:space="preserve">Категория</t>
  </si>
  <si>
    <t xml:space="preserve">💅 Салон красоты</t>
  </si>
  <si>
    <t xml:space="preserve">Город 📍</t>
  </si>
  <si>
    <t xml:space="preserve">Адрес или «онлайн»</t>
  </si>
  <si>
    <t xml:space="preserve">Подсказка в поле: ул. Покровка, 17</t>
  </si>
  <si>
    <t xml:space="preserve">центр города</t>
  </si>
  <si>
    <t xml:space="preserve">Контактное лицо и должность 👤</t>
  </si>
  <si>
    <t xml:space="preserve">Подсказка в поле: Ирина, управляющая</t>
  </si>
  <si>
    <t xml:space="preserve">Ирина Громова, управляющая</t>
  </si>
  <si>
    <t xml:space="preserve">Сколько клиенток у вас в месяц?</t>
  </si>
  <si>
    <t xml:space="preserve">До 100 · 100–500 · 500–2 000 · Больше 2 000</t>
  </si>
  <si>
    <t xml:space="preserve">100–500</t>
  </si>
  <si>
    <t xml:space="preserve">Возраст ваших клиенток</t>
  </si>
  <si>
    <t xml:space="preserve">до 25 · 25–34 · 35–44 · 45+</t>
  </si>
  <si>
    <t xml:space="preserve">25–34, 35–44</t>
  </si>
  <si>
    <t xml:space="preserve">Что вам интересно? 🤝</t>
  </si>
  <si>
    <t xml:space="preserve">🔁 Взаимный промо · 🎁 Спецпредложение для участниц Евы · 💰 Комиссия за приведённых клиенток · 🏢 Корпоративная подписка для сотрудниц · 🎬 Площадка для съёмок или встреч · 🛍 Товары в маркете Евы · 🎉 Совместное мероприятие · ⭐ Спонсорство</t>
  </si>
  <si>
    <t xml:space="preserve">💰 Комиссия за приведённых клиенток, 🔁 Взаимный промо</t>
  </si>
  <si>
    <t xml:space="preserve">Что можете дать участницам Евы? 🎁</t>
  </si>
  <si>
    <t xml:space="preserve">Скидку · Пробное занятие · Подарок · Бесплатную консультацию · Пока не знаю</t>
  </si>
  <si>
    <t xml:space="preserve">Подарок, Бесплатную консультацию</t>
  </si>
  <si>
    <t xml:space="preserve">Где можете рассказать о Еве? 📣</t>
  </si>
  <si>
    <t xml:space="preserve">Соцсети · Рассылка клиентам · Администратор на ресепшене · Стойка или листовки · Мероприятия</t>
  </si>
  <si>
    <t xml:space="preserve">Мероприятия, Администратор на ресепшене</t>
  </si>
  <si>
    <t xml:space="preserve">Аудитория в соцсетях 👥</t>
  </si>
  <si>
    <t xml:space="preserve">Пока нет · До 1 тыс. · 1–10 тыс. · Больше 10 тыс.</t>
  </si>
  <si>
    <t xml:space="preserve">Больше 10 тыс.</t>
  </si>
  <si>
    <t xml:space="preserve">Когда удобно встретиться?</t>
  </si>
  <si>
    <t xml:space="preserve">В будни утром · В будни днём · Вечером · Лучше в переписке</t>
  </si>
  <si>
    <t xml:space="preserve">В будни утром</t>
  </si>
  <si>
    <t xml:space="preserve">Telegram или телефон 📲</t>
  </si>
  <si>
    <t xml:space="preserve">@salon</t>
  </si>
  <si>
    <t xml:space="preserve">2. ВСТРЕЧА — открытые вопросы для Zoom, 20–30 минут. Записывайте коротко, своими словами</t>
  </si>
  <si>
    <t xml:space="preserve">Расскажите о ваших клиентках: кто они, с чем приходят, что их волнует помимо вашей услуги?</t>
  </si>
  <si>
    <t xml:space="preserve">Зачем: Совпадение с аудиторией Евы</t>
  </si>
  <si>
    <t xml:space="preserve">Как вы сейчас удерживаете клиенток между визитами?</t>
  </si>
  <si>
    <t xml:space="preserve">Зачем: Где Ева может помочь партнёру</t>
  </si>
  <si>
    <t xml:space="preserve">Какие партнёрства у вас уже были? Что сработало, а что нет?</t>
  </si>
  <si>
    <t xml:space="preserve">Зачем: Опыт и ожидания</t>
  </si>
  <si>
    <t xml:space="preserve">Что для вас выгодное партнёрство: деньги, новые клиентки, контент, имидж?</t>
  </si>
  <si>
    <t xml:space="preserve">Зачем: Формат сотрудничества</t>
  </si>
  <si>
    <t xml:space="preserve">Как вы обычно рассказываете клиенткам о партнёрах? Кто это делает?</t>
  </si>
  <si>
    <t xml:space="preserve">Зачем: Реальный канал рекомендации</t>
  </si>
  <si>
    <t xml:space="preserve">Какое спецпредложение вы готовы дать участницам Евы?</t>
  </si>
  <si>
    <t xml:space="preserve">Зачем: Оффер для витрины</t>
  </si>
  <si>
    <t xml:space="preserve">Нужны ли вам практики или мастер-класс от Евы для ваших клиенток?</t>
  </si>
  <si>
    <t xml:space="preserve">Зачем: Что даём мы</t>
  </si>
  <si>
    <t xml:space="preserve">Кто у вас принимает решение о партнёрстве и сколько это обычно занимает?</t>
  </si>
  <si>
    <t xml:space="preserve">Зачем: Скорость запуска</t>
  </si>
  <si>
    <t xml:space="preserve">Что может вас остановить?</t>
  </si>
  <si>
    <t xml:space="preserve">Зачем: Риски</t>
  </si>
  <si>
    <t xml:space="preserve">Как мы поймём через 3 месяца, что партнёрство удалось?</t>
  </si>
  <si>
    <t xml:space="preserve">Зачем: Общий критерий успеха</t>
  </si>
  <si>
    <t xml:space="preserve">🔁 Взаимный промо · 🎁 Спецпредложение · 💰 Комиссия · 🏢 Корпоративная подписка · 🎬 Площадка · 🛍 Маркет · 🎉 Мероприятие · ⭐ Спонсорство</t>
  </si>
  <si>
    <t xml:space="preserve">🎁 Спецпредложение, 🔁 Взаимный промо</t>
  </si>
  <si>
    <t xml:space="preserve">Например: прислать макет стойки</t>
  </si>
  <si>
    <t xml:space="preserve">Стойка с QR на ресепшене</t>
  </si>
  <si>
    <t xml:space="preserve">−15% на уход участницам Евы по промокоду EVA15.</t>
  </si>
  <si>
    <t xml:space="preserve">📣 Амбассадоры</t>
  </si>
  <si>
    <t xml:space="preserve">Те, кто рассказывает о Еве и приводит подруг. Три шага, как в CRM: Анкета → Созвон → Итог. Обращаемся на «ты».</t>
  </si>
  <si>
    <t xml:space="preserve">Как тебя зовут? 💜</t>
  </si>
  <si>
    <t xml:space="preserve">Юлия Ким</t>
  </si>
  <si>
    <t xml:space="preserve">Твой город 📍</t>
  </si>
  <si>
    <t xml:space="preserve">Подсказка в поле: Казань</t>
  </si>
  <si>
    <t xml:space="preserve">Сочи</t>
  </si>
  <si>
    <t xml:space="preserve">Ты пользуешься Евой?</t>
  </si>
  <si>
    <t xml:space="preserve">💜 Да, давно · 🌱 Недавно начала · 👀 Ещё нет</t>
  </si>
  <si>
    <t xml:space="preserve">🌱 Недавно начала</t>
  </si>
  <si>
    <t xml:space="preserve">Где твоя аудитория? 📱</t>
  </si>
  <si>
    <t xml:space="preserve">Telegram · ВКонтакте · YouTube · Instagram* · TikTok · Дзен · Мамские и женские чаты · Офлайн-сообщество · Коллеги и друзья</t>
  </si>
  <si>
    <t xml:space="preserve">Коллеги и друзья, TikTok, Telegram</t>
  </si>
  <si>
    <t xml:space="preserve">Сколько людей тебя читает? 👥</t>
  </si>
  <si>
    <t xml:space="preserve">До 500 · 500–3 000 · 3–10 тыс. · 10–50 тыс. · Больше 50 тыс.</t>
  </si>
  <si>
    <t xml:space="preserve">О чём твой блог или сообщество?</t>
  </si>
  <si>
    <t xml:space="preserve">👶 Материнство · 💄 Красота · 🏃‍♀️ Спорт · 🧠 Психология · 💼 Бизнес · 🌿 Лайфстайл · ✈️ Путешествия · 📚 Образование</t>
  </si>
  <si>
    <t xml:space="preserve">🌿 Лайфстайл, 💼 Бизнес</t>
  </si>
  <si>
    <t xml:space="preserve">Кто тебя читает?</t>
  </si>
  <si>
    <t xml:space="preserve">В основном женщины · Примерно поровну · В основном мужчины</t>
  </si>
  <si>
    <t xml:space="preserve">В основном женщины</t>
  </si>
  <si>
    <t xml:space="preserve">Как хочешь рассказывать о Еве? 📣</t>
  </si>
  <si>
    <t xml:space="preserve">📸 Посты и сторис · 💬 Личные рекомендации · 👭 В чатах · 📡 Эфиры · 🏠 Офлайн-встречи · ⭐ Отзывы</t>
  </si>
  <si>
    <t xml:space="preserve">💬 Личные рекомендации, 📸 Посты и сторис, 👭 В чатах</t>
  </si>
  <si>
    <t xml:space="preserve">Сколько времени в неделю готова уделять?</t>
  </si>
  <si>
    <t xml:space="preserve">1 час · 2–4 часа · Больше 4 часов</t>
  </si>
  <si>
    <t xml:space="preserve">Что для тебя главное? ✨</t>
  </si>
  <si>
    <t xml:space="preserve">💰 Деньги · 💜 Бесплатная подписка · 🏆 Статус и признание · 👭 Сообщество · 🎓 Рост и обучение</t>
  </si>
  <si>
    <t xml:space="preserve">💰 Деньги, 🏆 Статус и признание</t>
  </si>
  <si>
    <t xml:space="preserve">Твой статус — это нужно для выплат 🧾</t>
  </si>
  <si>
    <t xml:space="preserve">Самозанятая · ИП · Пока нет</t>
  </si>
  <si>
    <t xml:space="preserve">Пока нет</t>
  </si>
  <si>
    <t xml:space="preserve">Как удобнее получать вознаграждение?</t>
  </si>
  <si>
    <t xml:space="preserve">💳 На карту · 💜 На баланс Евы (+10%)</t>
  </si>
  <si>
    <t xml:space="preserve">💳 На карту</t>
  </si>
  <si>
    <t xml:space="preserve">Был опыт партнёрских программ?</t>
  </si>
  <si>
    <t xml:space="preserve">Да · Нет</t>
  </si>
  <si>
    <t xml:space="preserve">Да</t>
  </si>
  <si>
    <t xml:space="preserve">Твой Telegram или телефон 📲</t>
  </si>
  <si>
    <t xml:space="preserve">@yuliya</t>
  </si>
  <si>
    <t xml:space="preserve">Почему тебе откликается Ева? Что лично тебе она дала или могла бы дать?</t>
  </si>
  <si>
    <t xml:space="preserve">Зачем: Искренняя мотивация — основа рекомендаций</t>
  </si>
  <si>
    <t xml:space="preserve">Кто твоя аудитория и что у неё сейчас болит?</t>
  </si>
  <si>
    <t xml:space="preserve">Зачем: Какой оффер ей зайдёт</t>
  </si>
  <si>
    <t xml:space="preserve">Как ты обычно рекомендуешь продукты? Что никогда не стала бы рекламировать?</t>
  </si>
  <si>
    <t xml:space="preserve">Зачем: Формат и границы</t>
  </si>
  <si>
    <t xml:space="preserve">Какие материалы тебе нужны: тексты, видео, промокоды, эфир с экспертом?</t>
  </si>
  <si>
    <t xml:space="preserve">Зачем: Набор амбассадора</t>
  </si>
  <si>
    <t xml:space="preserve">Что тебя мотивирует больше: деньги, подписка, статус, сообщество?</t>
  </si>
  <si>
    <t xml:space="preserve">Зачем: Как вознаграждать</t>
  </si>
  <si>
    <t xml:space="preserve">Какой опыт партнёрских программ у тебя был? Что раздражало?</t>
  </si>
  <si>
    <t xml:space="preserve">Зачем: Чего не повторять</t>
  </si>
  <si>
    <t xml:space="preserve">Сколько человек ты можешь привести за месяц — честно?</t>
  </si>
  <si>
    <t xml:space="preserve">Зачем: Реальный прогноз</t>
  </si>
  <si>
    <t xml:space="preserve">Как тебе удобнее отчитываться и получать выплаты?</t>
  </si>
  <si>
    <t xml:space="preserve">Зачем: Простая механика выплат</t>
  </si>
  <si>
    <t xml:space="preserve">Что может тебя разочаровать в сотрудничестве с нами?</t>
  </si>
  <si>
    <t xml:space="preserve">Кого ещё ты бы позвала в амбассадоры?</t>
  </si>
  <si>
    <t xml:space="preserve">Зачем: Следующие амбассадоры</t>
  </si>
  <si>
    <t xml:space="preserve">🔗 Ссылка выдана · 📦 Материалы отправлены · 💜 Подписка в подарок · 🧾 Оформляет самозанятость · 📡 Эфир с экспертом · 👭 Позовёт подруг-амбассадоров</t>
  </si>
  <si>
    <t xml:space="preserve">🔗 Ссылка выдана, 📦 Материалы отправлены, 💜 Подписка в подарок</t>
  </si>
  <si>
    <t xml:space="preserve">Например: выдать материалы</t>
  </si>
  <si>
    <t xml:space="preserve">Первый пост в канале</t>
  </si>
  <si>
    <t xml:space="preserve">Жаворонок — легко встаю рано</t>
  </si>
  <si>
    <t xml:space="preserve">Беременность</t>
  </si>
  <si>
    <t xml:space="preserve">Спокойствие</t>
  </si>
  <si>
    <t xml:space="preserve">5–10 минут</t>
  </si>
  <si>
    <t xml:space="preserve">Утром</t>
  </si>
  <si>
    <t xml:space="preserve">Ничего</t>
  </si>
  <si>
    <t xml:space="preserve">С наставником</t>
  </si>
  <si>
    <t xml:space="preserve">До 6:00</t>
  </si>
  <si>
    <t xml:space="preserve">До 22:00</t>
  </si>
  <si>
    <t xml:space="preserve">Ем всё</t>
  </si>
  <si>
    <t xml:space="preserve">До 2 часов</t>
  </si>
  <si>
    <t xml:space="preserve">Нет, смотрю как есть</t>
  </si>
  <si>
    <t xml:space="preserve">Да, важно, чтобы ответили</t>
  </si>
  <si>
    <t xml:space="preserve">До 500 ₽</t>
  </si>
  <si>
    <t xml:space="preserve">Telegram</t>
  </si>
  <si>
    <t xml:space="preserve">Да, в будни днём</t>
  </si>
  <si>
    <t xml:space="preserve">до года</t>
  </si>
  <si>
    <t xml:space="preserve">Диплом по профилю</t>
  </si>
  <si>
    <t xml:space="preserve">🏙 Приеду в студию в Москве</t>
  </si>
  <si>
    <t xml:space="preserve">1 день</t>
  </si>
  <si>
    <t xml:space="preserve">До 3 000 ₽</t>
  </si>
  <si>
    <t xml:space="preserve">До 100</t>
  </si>
  <si>
    <t xml:space="preserve">💜 Да, давно</t>
  </si>
  <si>
    <t xml:space="preserve">До 500</t>
  </si>
  <si>
    <t xml:space="preserve">1 час</t>
  </si>
  <si>
    <t xml:space="preserve">Самозанятая</t>
  </si>
  <si>
    <t xml:space="preserve">Казахстан</t>
  </si>
  <si>
    <t xml:space="preserve">В отношениях</t>
  </si>
  <si>
    <t xml:space="preserve">Работаю по сменам или графику 2/2</t>
  </si>
  <si>
    <t xml:space="preserve">Сова — оживаю к вечеру</t>
  </si>
  <si>
    <t xml:space="preserve">Энергия и силы</t>
  </si>
  <si>
    <t xml:space="preserve">Днём</t>
  </si>
  <si>
    <t xml:space="preserve">Самостоятельно</t>
  </si>
  <si>
    <t xml:space="preserve">6:00–7:00</t>
  </si>
  <si>
    <t xml:space="preserve">22:00–23:00</t>
  </si>
  <si>
    <t xml:space="preserve">Вегетарианка</t>
  </si>
  <si>
    <t xml:space="preserve">5–15 минут</t>
  </si>
  <si>
    <t xml:space="preserve">500–1 500 ₽</t>
  </si>
  <si>
    <t xml:space="preserve">ВКонтакте</t>
  </si>
  <si>
    <t xml:space="preserve">Да, в будни вечером</t>
  </si>
  <si>
    <t xml:space="preserve">Готова помогать ещё</t>
  </si>
  <si>
    <t xml:space="preserve">1–3 года</t>
  </si>
  <si>
    <t xml:space="preserve">🤔 Возможно, обсудим</t>
  </si>
  <si>
    <t xml:space="preserve">🎥 Есть своя качественная съёмка</t>
  </si>
  <si>
    <t xml:space="preserve">2–3 дня</t>
  </si>
  <si>
    <t xml:space="preserve">До 1 тыс.</t>
  </si>
  <si>
    <t xml:space="preserve">3 000–6 000 ₽</t>
  </si>
  <si>
    <t xml:space="preserve">Думает</t>
  </si>
  <si>
    <t xml:space="preserve">🤸‍♀️ Студия пилатеса</t>
  </si>
  <si>
    <t xml:space="preserve">В будни днём</t>
  </si>
  <si>
    <t xml:space="preserve">500–3 000</t>
  </si>
  <si>
    <t xml:space="preserve">Примерно поровну</t>
  </si>
  <si>
    <t xml:space="preserve">ИП</t>
  </si>
  <si>
    <t xml:space="preserve">💜 На баланс Евы (+10%)</t>
  </si>
  <si>
    <t xml:space="preserve">Нет</t>
  </si>
  <si>
    <t xml:space="preserve">Беларусь</t>
  </si>
  <si>
    <t xml:space="preserve">Не в отношениях, открыта к знакомству</t>
  </si>
  <si>
    <t xml:space="preserve">Удалённо или гибрид</t>
  </si>
  <si>
    <t xml:space="preserve">Мама школьника</t>
  </si>
  <si>
    <t xml:space="preserve">Отношения</t>
  </si>
  <si>
    <t xml:space="preserve">30 минут и больше</t>
  </si>
  <si>
    <t xml:space="preserve">1 000–3 000 ₽</t>
  </si>
  <si>
    <t xml:space="preserve">В группе, с поддержкой</t>
  </si>
  <si>
    <t xml:space="preserve">7:00–8:00</t>
  </si>
  <si>
    <t xml:space="preserve">Веганка</t>
  </si>
  <si>
    <t xml:space="preserve">4–6 часов</t>
  </si>
  <si>
    <t xml:space="preserve">15–30 минут</t>
  </si>
  <si>
    <t xml:space="preserve">Да, 1,75–2×</t>
  </si>
  <si>
    <t xml:space="preserve">Нет, хватит выжимки</t>
  </si>
  <si>
    <t xml:space="preserve">Блогер</t>
  </si>
  <si>
    <t xml:space="preserve">Большая практика без документов</t>
  </si>
  <si>
    <t xml:space="preserve">📦 Есть готовый — хочу разместить</t>
  </si>
  <si>
    <t xml:space="preserve">1–10 тыс.</t>
  </si>
  <si>
    <t xml:space="preserve">Не сейчас</t>
  </si>
  <si>
    <t xml:space="preserve">🧘‍♀️ Йога-студия</t>
  </si>
  <si>
    <t xml:space="preserve">500–2 000</t>
  </si>
  <si>
    <t xml:space="preserve">👀 Ещё нет</t>
  </si>
  <si>
    <t xml:space="preserve">3–10 тыс.</t>
  </si>
  <si>
    <t xml:space="preserve">В основном мужчины</t>
  </si>
  <si>
    <t xml:space="preserve">Больше 4 часов</t>
  </si>
  <si>
    <t xml:space="preserve">Узбекистан</t>
  </si>
  <si>
    <t xml:space="preserve">Одна — и это мой осознанный выбор</t>
  </si>
  <si>
    <t xml:space="preserve">Свободный график, фриланс</t>
  </si>
  <si>
    <t xml:space="preserve">Свой режим, всё по ситуации</t>
  </si>
  <si>
    <t xml:space="preserve">Карьера</t>
  </si>
  <si>
    <t xml:space="preserve">Деньги и своё дело</t>
  </si>
  <si>
    <t xml:space="preserve">3 000–7 000 ₽</t>
  </si>
  <si>
    <t xml:space="preserve">8:00–9:00</t>
  </si>
  <si>
    <t xml:space="preserve">00:00–01:00</t>
  </si>
  <si>
    <t xml:space="preserve">Больше 6 часов</t>
  </si>
  <si>
    <t xml:space="preserve">30–60 минут</t>
  </si>
  <si>
    <t xml:space="preserve">Зависит от спикера</t>
  </si>
  <si>
    <t xml:space="preserve">Больше 3 000 ₽</t>
  </si>
  <si>
    <t xml:space="preserve">Лучше перепишемся</t>
  </si>
  <si>
    <t xml:space="preserve">5–10 лет</t>
  </si>
  <si>
    <t xml:space="preserve">🙅‍♀️ Пока нет</t>
  </si>
  <si>
    <t xml:space="preserve">🤝 Обсудим</t>
  </si>
  <si>
    <t xml:space="preserve">Больше 10 000 ₽</t>
  </si>
  <si>
    <t xml:space="preserve">🏋️‍♀️ Фитнес-клуб</t>
  </si>
  <si>
    <t xml:space="preserve">Больше 2 000</t>
  </si>
  <si>
    <t xml:space="preserve">Лучше в переписке</t>
  </si>
  <si>
    <t xml:space="preserve">Грузия</t>
  </si>
  <si>
    <t xml:space="preserve">Разведена</t>
  </si>
  <si>
    <t xml:space="preserve">Своё дело</t>
  </si>
  <si>
    <t xml:space="preserve">Режим скачет: дети, смены, перелёты</t>
  </si>
  <si>
    <t xml:space="preserve">Больше 7 000 ₽</t>
  </si>
  <si>
    <t xml:space="preserve">После 9:00</t>
  </si>
  <si>
    <t xml:space="preserve">После 01:00</t>
  </si>
  <si>
    <t xml:space="preserve">Фрукторианка</t>
  </si>
  <si>
    <t xml:space="preserve">Не знаю</t>
  </si>
  <si>
    <t xml:space="preserve">Больше часа</t>
  </si>
  <si>
    <t xml:space="preserve">Эксперт</t>
  </si>
  <si>
    <t xml:space="preserve">Нет, спасибо</t>
  </si>
  <si>
    <t xml:space="preserve">больше 10 лет</t>
  </si>
  <si>
    <t xml:space="preserve">Больше 50 тыс.</t>
  </si>
  <si>
    <t xml:space="preserve">Не консультирую</t>
  </si>
  <si>
    <t xml:space="preserve">✨ Косметология</t>
  </si>
  <si>
    <t xml:space="preserve">Армения</t>
  </si>
  <si>
    <t xml:space="preserve">Не хочу отвечать</t>
  </si>
  <si>
    <t xml:space="preserve">В декрете</t>
  </si>
  <si>
    <t xml:space="preserve">Ищу своё направление</t>
  </si>
  <si>
    <t xml:space="preserve">Слежу: ПП, без сахара или глютена</t>
  </si>
  <si>
    <t xml:space="preserve">Студия или салон</t>
  </si>
  <si>
    <t xml:space="preserve">💆‍♀️ SPA и массаж</t>
  </si>
  <si>
    <t xml:space="preserve">Сейчас не работаю</t>
  </si>
  <si>
    <t xml:space="preserve">Просто хочу пожить для себя</t>
  </si>
  <si>
    <t xml:space="preserve">Мероприятие</t>
  </si>
  <si>
    <t xml:space="preserve">🥗 Здоровое питание</t>
  </si>
  <si>
    <t xml:space="preserve">Учусь</t>
  </si>
  <si>
    <t xml:space="preserve">🧠 Психологический центр</t>
  </si>
  <si>
    <t xml:space="preserve">🏥 Женское здоровье</t>
  </si>
  <si>
    <t xml:space="preserve">👶 Центр для мам и детей</t>
  </si>
  <si>
    <t xml:space="preserve">🏠 Пространство для встреч</t>
  </si>
  <si>
    <t xml:space="preserve">🛍 Бренд для маркета</t>
  </si>
  <si>
    <t xml:space="preserve">🎤 Организатор мероприятий</t>
  </si>
  <si>
    <t xml:space="preserve">⭐ Спонсор</t>
  </si>
  <si>
    <t xml:space="preserve">📱 Медиа и блогеры</t>
  </si>
  <si>
    <t xml:space="preserve">📚 Образование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</si>
</sst>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.mm\.yyyy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D1828"/>
      <name val="Arial"/>
      <family val="0"/>
      <charset val="1"/>
    </font>
    <font>
      <b val="true"/>
      <sz val="10"/>
      <color rgb="FF3B2150"/>
      <name val="Arial"/>
      <family val="0"/>
      <charset val="1"/>
    </font>
    <font>
      <sz val="10"/>
      <color rgb="FF16141C"/>
      <name val="Arial"/>
      <family val="0"/>
      <charset val="1"/>
    </font>
    <font>
      <b val="true"/>
      <sz val="12"/>
      <color rgb="FF1D182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5A5766"/>
      <name val="Arial"/>
      <family val="0"/>
      <charset val="1"/>
    </font>
    <font>
      <b val="true"/>
      <sz val="11"/>
      <color rgb="FF3B2150"/>
      <name val="Arial"/>
      <family val="0"/>
      <charset val="1"/>
    </font>
    <font>
      <b val="true"/>
      <sz val="10"/>
      <color rgb="FF6B4E8A"/>
      <name val="Arial"/>
      <family val="0"/>
      <charset val="1"/>
    </font>
    <font>
      <b val="true"/>
      <sz val="10"/>
      <color rgb="FF4F46B8"/>
      <name val="Arial"/>
      <family val="0"/>
      <charset val="1"/>
    </font>
    <font>
      <sz val="9"/>
      <color rgb="FF5A5766"/>
      <name val="Arial"/>
      <family val="0"/>
      <charset val="1"/>
    </font>
    <font>
      <i val="true"/>
      <sz val="9"/>
      <color rgb="FF8A8796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3B2150"/>
        <bgColor rgb="FF1D1828"/>
      </patternFill>
    </fill>
    <fill>
      <patternFill patternType="solid">
        <fgColor rgb="FFECE6F5"/>
        <bgColor rgb="FFF4F3F6"/>
      </patternFill>
    </fill>
    <fill>
      <patternFill patternType="solid">
        <fgColor rgb="FFF7F4FB"/>
        <bgColor rgb="FFF4F3F6"/>
      </patternFill>
    </fill>
    <fill>
      <patternFill patternType="solid">
        <fgColor rgb="FFF4F3F6"/>
        <bgColor rgb="FFF7F4FB"/>
      </patternFill>
    </fill>
    <fill>
      <patternFill patternType="solid">
        <fgColor rgb="FFFFF6CC"/>
        <bgColor rgb="FFF4F3F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AE3"/>
      </left>
      <right style="thin">
        <color rgb="FFDDDAE3"/>
      </right>
      <top style="thin">
        <color rgb="FFDDDAE3"/>
      </top>
      <bottom style="thin">
        <color rgb="FFDDDA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5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6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3734F"/>
      <rgbColor rgb="FFC0C0C0"/>
      <rgbColor rgb="FF8A8796"/>
      <rgbColor rgb="FF9999FF"/>
      <rgbColor rgb="FF5A5766"/>
      <rgbColor rgb="FFFFF6CC"/>
      <rgbColor rgb="FFF4F3F6"/>
      <rgbColor rgb="FF660066"/>
      <rgbColor rgb="FFFF8080"/>
      <rgbColor rgb="FF0066CC"/>
      <rgbColor rgb="FFDDDA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4FB"/>
      <rgbColor rgb="FFECE6F5"/>
      <rgbColor rgb="FFFFFF99"/>
      <rgbColor rgb="FF99CCFF"/>
      <rgbColor rgb="FFE4A0B8"/>
      <rgbColor rgb="FFCC99FF"/>
      <rgbColor rgb="FFE7C58B"/>
      <rgbColor rgb="FF3366FF"/>
      <rgbColor rgb="FF33CCCC"/>
      <rgbColor rgb="FF99CC00"/>
      <rgbColor rgb="FFFFCC00"/>
      <rgbColor rgb="FFFF9900"/>
      <rgbColor rgb="FFFF6600"/>
      <rgbColor rgb="FF6B4E8A"/>
      <rgbColor rgb="FF969696"/>
      <rgbColor rgb="FF003366"/>
      <rgbColor rgb="FF339966"/>
      <rgbColor rgb="FF16141C"/>
      <rgbColor rgb="FF1D1828"/>
      <rgbColor rgb="FF993300"/>
      <rgbColor rgb="FF993366"/>
      <rgbColor rgb="FF4F46B8"/>
      <rgbColor rgb="FF3B21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2150"/>
    <pageSetUpPr fitToPage="false"/>
  </sheetPr>
  <dimension ref="A1:E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22"/>
  </cols>
  <sheetData>
    <row r="1" customFormat="false" ht="18.55" hidden="false" customHeight="false" outlineLevel="0" collapsed="false">
      <c r="A1" s="1" t="s">
        <v>0</v>
      </c>
    </row>
    <row r="3" customFormat="false" ht="33.75" hidden="false" customHeight="true" outlineLevel="0" collapsed="false">
      <c r="A3" s="2" t="s">
        <v>1</v>
      </c>
      <c r="B3" s="3" t="s">
        <v>2</v>
      </c>
      <c r="C3" s="3"/>
      <c r="D3" s="3"/>
      <c r="E3" s="3"/>
    </row>
    <row r="4" customFormat="false" ht="48" hidden="false" customHeight="true" outlineLevel="0" collapsed="false">
      <c r="A4" s="2" t="s">
        <v>3</v>
      </c>
      <c r="B4" s="3" t="s">
        <v>4</v>
      </c>
      <c r="C4" s="3"/>
      <c r="D4" s="3"/>
      <c r="E4" s="3"/>
    </row>
    <row r="5" customFormat="false" ht="33.75" hidden="false" customHeight="true" outlineLevel="0" collapsed="false">
      <c r="A5" s="2" t="s">
        <v>5</v>
      </c>
      <c r="B5" s="3" t="s">
        <v>6</v>
      </c>
      <c r="C5" s="3"/>
      <c r="D5" s="3"/>
      <c r="E5" s="3"/>
    </row>
    <row r="6" customFormat="false" ht="33.75" hidden="false" customHeight="true" outlineLevel="0" collapsed="false">
      <c r="A6" s="2" t="s">
        <v>7</v>
      </c>
      <c r="B6" s="3" t="s">
        <v>8</v>
      </c>
      <c r="C6" s="3"/>
      <c r="D6" s="3"/>
      <c r="E6" s="3"/>
    </row>
    <row r="7" customFormat="false" ht="48" hidden="false" customHeight="true" outlineLevel="0" collapsed="false">
      <c r="A7" s="2" t="s">
        <v>9</v>
      </c>
      <c r="B7" s="3" t="s">
        <v>10</v>
      </c>
      <c r="C7" s="3"/>
      <c r="D7" s="3"/>
      <c r="E7" s="3"/>
    </row>
    <row r="8" customFormat="false" ht="33.75" hidden="false" customHeight="true" outlineLevel="0" collapsed="false">
      <c r="A8" s="2" t="s">
        <v>11</v>
      </c>
      <c r="B8" s="3" t="s">
        <v>12</v>
      </c>
      <c r="C8" s="3"/>
      <c r="D8" s="3"/>
      <c r="E8" s="3"/>
    </row>
    <row r="9" customFormat="false" ht="19.5" hidden="false" customHeight="true" outlineLevel="0" collapsed="false">
      <c r="A9" s="2" t="s">
        <v>13</v>
      </c>
      <c r="B9" s="3" t="s">
        <v>14</v>
      </c>
      <c r="C9" s="3"/>
      <c r="D9" s="3"/>
      <c r="E9" s="3"/>
    </row>
    <row r="10" customFormat="false" ht="33.75" hidden="false" customHeight="true" outlineLevel="0" collapsed="false">
      <c r="A10" s="2" t="s">
        <v>15</v>
      </c>
      <c r="B10" s="3" t="s">
        <v>16</v>
      </c>
      <c r="C10" s="3"/>
      <c r="D10" s="3"/>
      <c r="E10" s="3"/>
    </row>
    <row r="12" customFormat="false" ht="15" hidden="false" customHeight="false" outlineLevel="0" collapsed="false">
      <c r="A12" s="4" t="s">
        <v>17</v>
      </c>
    </row>
    <row r="13" customFormat="false" ht="30" hidden="false" customHeight="true" outlineLevel="0" collapsed="false">
      <c r="A13" s="5" t="s">
        <v>18</v>
      </c>
      <c r="B13" s="5" t="s">
        <v>19</v>
      </c>
      <c r="C13" s="5" t="s">
        <v>20</v>
      </c>
      <c r="D13" s="5" t="s">
        <v>21</v>
      </c>
      <c r="E13" s="5" t="s">
        <v>22</v>
      </c>
    </row>
    <row r="14" customFormat="false" ht="15" hidden="false" customHeight="false" outlineLevel="0" collapsed="false">
      <c r="A14" s="6" t="s">
        <v>23</v>
      </c>
      <c r="B14" s="7" t="n">
        <f aca="false">COUNT('Клиентки (кастдев)'!A7:A48)</f>
        <v>35</v>
      </c>
      <c r="C14" s="7" t="n">
        <f aca="false">COUNT('Клиентки (кастдев)'!A53:A97)</f>
        <v>37</v>
      </c>
      <c r="D14" s="7" t="n">
        <f aca="false">COUNTA('Клиентки (кастдев)'!G7:U7)</f>
        <v>0</v>
      </c>
      <c r="E14" s="7" t="n">
        <f aca="false">COUNTA('Клиентки (кастдев)'!G50:U50)</f>
        <v>0</v>
      </c>
    </row>
    <row r="15" customFormat="false" ht="15" hidden="false" customHeight="false" outlineLevel="0" collapsed="false">
      <c r="A15" s="6" t="s">
        <v>24</v>
      </c>
      <c r="B15" s="7" t="n">
        <f aca="false">COUNT(Эксперты!A6:A22)</f>
        <v>17</v>
      </c>
      <c r="C15" s="7" t="n">
        <f aca="false">COUNT(Эксперты!A26:A38)</f>
        <v>13</v>
      </c>
      <c r="D15" s="7" t="n">
        <f aca="false">COUNTA(Эксперты!G6:P6)</f>
        <v>0</v>
      </c>
      <c r="E15" s="7" t="n">
        <f aca="false">COUNTA(Эксперты!G24:P24)</f>
        <v>0</v>
      </c>
    </row>
    <row r="16" customFormat="false" ht="15" hidden="false" customHeight="false" outlineLevel="0" collapsed="false">
      <c r="A16" s="6" t="s">
        <v>25</v>
      </c>
      <c r="B16" s="7" t="n">
        <f aca="false">COUNT(Партнёры!A6:A18)</f>
        <v>13</v>
      </c>
      <c r="C16" s="7" t="n">
        <f aca="false">COUNT(Партнёры!A22:A31)</f>
        <v>10</v>
      </c>
      <c r="D16" s="7" t="n">
        <f aca="false">COUNTA(Партнёры!G6:P6)</f>
        <v>0</v>
      </c>
      <c r="E16" s="7" t="n">
        <f aca="false">COUNTA(Партнёры!G20:P20)</f>
        <v>0</v>
      </c>
    </row>
    <row r="17" customFormat="false" ht="15" hidden="false" customHeight="false" outlineLevel="0" collapsed="false">
      <c r="A17" s="6" t="s">
        <v>26</v>
      </c>
      <c r="B17" s="7" t="n">
        <f aca="false">COUNT(Амбассадоры!A6:A19)</f>
        <v>14</v>
      </c>
      <c r="C17" s="7" t="n">
        <f aca="false">COUNT(Амбассадоры!A23:A32)</f>
        <v>10</v>
      </c>
      <c r="D17" s="7" t="n">
        <f aca="false">COUNTA(Амбассадоры!G6:P6)</f>
        <v>0</v>
      </c>
      <c r="E17" s="7" t="n">
        <f aca="false">COUNTA(Амбассадоры!G21:P21)</f>
        <v>0</v>
      </c>
    </row>
    <row r="18" customFormat="false" ht="15" hidden="false" customHeight="false" outlineLevel="0" collapsed="false">
      <c r="A18" s="8" t="s">
        <v>27</v>
      </c>
      <c r="B18" s="9" t="n">
        <f aca="false">SUM(B14:B17)</f>
        <v>79</v>
      </c>
      <c r="C18" s="9" t="n">
        <f aca="false">SUM(C14:C17)</f>
        <v>70</v>
      </c>
      <c r="D18" s="9" t="n">
        <f aca="false">SUM(D14:D17)</f>
        <v>0</v>
      </c>
      <c r="E18" s="9" t="n">
        <f aca="false">SUM(E14:E17)</f>
        <v>0</v>
      </c>
    </row>
    <row r="20" customFormat="false" ht="45.75" hidden="false" customHeight="true" outlineLevel="0" collapsed="false">
      <c r="A20" s="2" t="s">
        <v>28</v>
      </c>
      <c r="B20" s="3" t="s">
        <v>29</v>
      </c>
      <c r="C20" s="3"/>
      <c r="D20" s="3"/>
      <c r="E20" s="3"/>
    </row>
    <row r="21" customFormat="false" ht="60" hidden="false" customHeight="true" outlineLevel="0" collapsed="false">
      <c r="A21" s="2" t="s">
        <v>30</v>
      </c>
      <c r="B21" s="3" t="s">
        <v>31</v>
      </c>
      <c r="C21" s="3"/>
      <c r="D21" s="3"/>
      <c r="E21" s="3"/>
    </row>
  </sheetData>
  <mergeCells count="10">
    <mergeCell ref="B3:E3"/>
    <mergeCell ref="B4:E4"/>
    <mergeCell ref="B5:E5"/>
    <mergeCell ref="B6:E6"/>
    <mergeCell ref="B7:E7"/>
    <mergeCell ref="B8:E8"/>
    <mergeCell ref="B9:E9"/>
    <mergeCell ref="B10:E10"/>
    <mergeCell ref="B20:E20"/>
    <mergeCell ref="B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4A0B8"/>
    <pageSetUpPr fitToPage="false"/>
  </sheetPr>
  <dimension ref="A1:U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17"/>
    <col collapsed="false" customWidth="true" hidden="false" outlineLevel="0" max="4" min="4" style="0" width="42"/>
    <col collapsed="false" customWidth="true" hidden="false" outlineLevel="0" max="5" min="5" style="0" width="10"/>
    <col collapsed="false" customWidth="true" hidden="false" outlineLevel="0" max="21" min="6" style="0" width="30"/>
  </cols>
  <sheetData>
    <row r="1" customFormat="false" ht="25.5" hidden="false" customHeight="true" outlineLevel="0" collapsed="false">
      <c r="A1" s="10" t="s">
        <v>32</v>
      </c>
      <c r="B1" s="10"/>
    </row>
    <row r="2" customFormat="false" ht="43.5" hidden="false" customHeight="true" outlineLevel="0" collapsed="false">
      <c r="A2" s="11" t="s">
        <v>33</v>
      </c>
      <c r="B2" s="11"/>
    </row>
    <row r="3" customFormat="false" ht="31.5" hidden="false" customHeight="true" outlineLevel="0" collapsed="false">
      <c r="A3" s="11" t="s">
        <v>34</v>
      </c>
      <c r="B3" s="11"/>
    </row>
    <row r="4" customFormat="false" ht="30" hidden="false" customHeight="true" outlineLevel="0" collapsed="false">
      <c r="A4" s="5" t="s">
        <v>35</v>
      </c>
      <c r="B4" s="5" t="s">
        <v>36</v>
      </c>
      <c r="C4" s="5" t="s">
        <v>37</v>
      </c>
      <c r="D4" s="5" t="s">
        <v>38</v>
      </c>
      <c r="E4" s="5" t="s">
        <v>13</v>
      </c>
      <c r="F4" s="5" t="s">
        <v>11</v>
      </c>
      <c r="G4" s="5" t="str">
        <f aca="false">IF(G$7="","Человек 1",G$7)</f>
        <v>Человек 1</v>
      </c>
      <c r="H4" s="5" t="str">
        <f aca="false">IF(H$7="","Человек 2",H$7)</f>
        <v>Человек 2</v>
      </c>
      <c r="I4" s="5" t="str">
        <f aca="false">IF(I$7="","Человек 3",I$7)</f>
        <v>Человек 3</v>
      </c>
      <c r="J4" s="5" t="str">
        <f aca="false">IF(J$7="","Человек 4",J$7)</f>
        <v>Человек 4</v>
      </c>
      <c r="K4" s="5" t="str">
        <f aca="false">IF(K$7="","Человек 5",K$7)</f>
        <v>Человек 5</v>
      </c>
      <c r="L4" s="5" t="str">
        <f aca="false">IF(L$7="","Человек 6",L$7)</f>
        <v>Человек 6</v>
      </c>
      <c r="M4" s="5" t="str">
        <f aca="false">IF(M$7="","Человек 7",M$7)</f>
        <v>Человек 7</v>
      </c>
      <c r="N4" s="5" t="str">
        <f aca="false">IF(N$7="","Человек 8",N$7)</f>
        <v>Человек 8</v>
      </c>
      <c r="O4" s="5" t="str">
        <f aca="false">IF(O$7="","Человек 9",O$7)</f>
        <v>Человек 9</v>
      </c>
      <c r="P4" s="5" t="str">
        <f aca="false">IF(P$7="","Человек 10",P$7)</f>
        <v>Человек 10</v>
      </c>
      <c r="Q4" s="5" t="str">
        <f aca="false">IF(Q$7="","Человек 11",Q$7)</f>
        <v>Человек 11</v>
      </c>
      <c r="R4" s="5" t="str">
        <f aca="false">IF(R$7="","Человек 12",R$7)</f>
        <v>Человек 12</v>
      </c>
      <c r="S4" s="5" t="str">
        <f aca="false">IF(S$7="","Человек 13",S$7)</f>
        <v>Человек 13</v>
      </c>
      <c r="T4" s="5" t="str">
        <f aca="false">IF(T$7="","Человек 14",T$7)</f>
        <v>Человек 14</v>
      </c>
      <c r="U4" s="5" t="str">
        <f aca="false">IF(U$7="","Человек 15",U$7)</f>
        <v>Человек 15</v>
      </c>
    </row>
    <row r="5" customFormat="false" ht="24" hidden="false" customHeight="true" outlineLevel="0" collapsed="false">
      <c r="A5" s="12"/>
      <c r="B5" s="13" t="s">
        <v>39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</row>
    <row r="6" customFormat="false" ht="19.5" hidden="false" customHeight="true" outlineLevel="0" collapsed="false">
      <c r="A6" s="14"/>
      <c r="B6" s="15" t="s">
        <v>40</v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</row>
    <row r="7" customFormat="false" ht="19.5" hidden="false" customHeight="true" outlineLevel="0" collapsed="false">
      <c r="A7" s="16" t="n">
        <v>1</v>
      </c>
      <c r="B7" s="17" t="s">
        <v>41</v>
      </c>
      <c r="C7" s="18" t="s">
        <v>42</v>
      </c>
      <c r="D7" s="18" t="s">
        <v>43</v>
      </c>
      <c r="E7" s="19" t="n">
        <f aca="false">COUNTA(G7:U7)</f>
        <v>0</v>
      </c>
      <c r="F7" s="20" t="s">
        <v>44</v>
      </c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</row>
    <row r="8" customFormat="false" ht="31.5" hidden="false" customHeight="true" outlineLevel="0" collapsed="false">
      <c r="A8" s="16" t="n">
        <v>2</v>
      </c>
      <c r="B8" s="17" t="s">
        <v>45</v>
      </c>
      <c r="C8" s="18" t="s">
        <v>46</v>
      </c>
      <c r="D8" s="18" t="s">
        <v>47</v>
      </c>
      <c r="E8" s="19" t="n">
        <f aca="false">COUNTA(G8:U8)</f>
        <v>0</v>
      </c>
      <c r="F8" s="20" t="s">
        <v>48</v>
      </c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</row>
    <row r="9" customFormat="false" ht="31.5" hidden="false" customHeight="true" outlineLevel="0" collapsed="false">
      <c r="A9" s="16" t="n">
        <v>3</v>
      </c>
      <c r="B9" s="17" t="s">
        <v>49</v>
      </c>
      <c r="C9" s="18" t="s">
        <v>50</v>
      </c>
      <c r="D9" s="18" t="s">
        <v>51</v>
      </c>
      <c r="E9" s="19" t="n">
        <f aca="false">COUNTA(G9:U9)</f>
        <v>0</v>
      </c>
      <c r="F9" s="22" t="n">
        <v>34156</v>
      </c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</row>
    <row r="10" customFormat="false" ht="19.5" hidden="false" customHeight="true" outlineLevel="0" collapsed="false">
      <c r="A10" s="16" t="n">
        <v>4</v>
      </c>
      <c r="B10" s="17" t="s">
        <v>52</v>
      </c>
      <c r="C10" s="18" t="s">
        <v>42</v>
      </c>
      <c r="D10" s="18" t="s">
        <v>53</v>
      </c>
      <c r="E10" s="19" t="n">
        <f aca="false">COUNTA(G10:U10)</f>
        <v>0</v>
      </c>
      <c r="F10" s="20" t="s">
        <v>54</v>
      </c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</row>
    <row r="11" customFormat="false" ht="31.5" hidden="false" customHeight="true" outlineLevel="0" collapsed="false">
      <c r="A11" s="16" t="n">
        <v>5</v>
      </c>
      <c r="B11" s="17" t="s">
        <v>55</v>
      </c>
      <c r="C11" s="18" t="s">
        <v>56</v>
      </c>
      <c r="D11" s="18" t="s">
        <v>57</v>
      </c>
      <c r="E11" s="19" t="n">
        <f aca="false">COUNTA(G11:U11)</f>
        <v>0</v>
      </c>
      <c r="F11" s="20" t="s">
        <v>58</v>
      </c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</row>
    <row r="12" customFormat="false" ht="19.5" hidden="false" customHeight="true" outlineLevel="0" collapsed="false">
      <c r="A12" s="14"/>
      <c r="B12" s="15" t="s">
        <v>59</v>
      </c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</row>
    <row r="13" customFormat="false" ht="45" hidden="false" customHeight="true" outlineLevel="0" collapsed="false">
      <c r="A13" s="16" t="n">
        <v>6</v>
      </c>
      <c r="B13" s="17" t="s">
        <v>60</v>
      </c>
      <c r="C13" s="18" t="s">
        <v>56</v>
      </c>
      <c r="D13" s="18" t="s">
        <v>61</v>
      </c>
      <c r="E13" s="19" t="n">
        <f aca="false">COUNTA(G13:U13)</f>
        <v>0</v>
      </c>
      <c r="F13" s="20" t="s">
        <v>62</v>
      </c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</row>
    <row r="14" customFormat="false" ht="57.75" hidden="false" customHeight="true" outlineLevel="0" collapsed="false">
      <c r="A14" s="16" t="n">
        <v>7</v>
      </c>
      <c r="B14" s="17" t="s">
        <v>63</v>
      </c>
      <c r="C14" s="18" t="s">
        <v>56</v>
      </c>
      <c r="D14" s="18" t="s">
        <v>64</v>
      </c>
      <c r="E14" s="19" t="n">
        <f aca="false">COUNTA(G14:U14)</f>
        <v>0</v>
      </c>
      <c r="F14" s="20" t="s">
        <v>65</v>
      </c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</row>
    <row r="15" customFormat="false" ht="45" hidden="false" customHeight="true" outlineLevel="0" collapsed="false">
      <c r="A15" s="16" t="n">
        <v>8</v>
      </c>
      <c r="B15" s="17" t="s">
        <v>66</v>
      </c>
      <c r="C15" s="18" t="s">
        <v>56</v>
      </c>
      <c r="D15" s="18" t="s">
        <v>67</v>
      </c>
      <c r="E15" s="19" t="n">
        <f aca="false">COUNTA(G15:U15)</f>
        <v>0</v>
      </c>
      <c r="F15" s="20" t="s">
        <v>68</v>
      </c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</row>
    <row r="16" customFormat="false" ht="45" hidden="false" customHeight="true" outlineLevel="0" collapsed="false">
      <c r="A16" s="16" t="n">
        <v>9</v>
      </c>
      <c r="B16" s="17" t="s">
        <v>69</v>
      </c>
      <c r="C16" s="18" t="s">
        <v>56</v>
      </c>
      <c r="D16" s="18" t="s">
        <v>70</v>
      </c>
      <c r="E16" s="19" t="n">
        <f aca="false">COUNTA(G16:U16)</f>
        <v>0</v>
      </c>
      <c r="F16" s="20" t="s">
        <v>71</v>
      </c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</row>
    <row r="17" customFormat="false" ht="19.5" hidden="false" customHeight="true" outlineLevel="0" collapsed="false">
      <c r="A17" s="14"/>
      <c r="B17" s="15" t="s">
        <v>72</v>
      </c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</row>
    <row r="18" customFormat="false" ht="19.5" hidden="false" customHeight="true" outlineLevel="0" collapsed="false">
      <c r="A18" s="16" t="n">
        <v>10</v>
      </c>
      <c r="B18" s="17" t="s">
        <v>73</v>
      </c>
      <c r="C18" s="18" t="s">
        <v>74</v>
      </c>
      <c r="D18" s="18" t="s">
        <v>75</v>
      </c>
      <c r="E18" s="19" t="n">
        <f aca="false">COUNTA(G18:U18)</f>
        <v>0</v>
      </c>
      <c r="F18" s="20" t="n">
        <v>3</v>
      </c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</row>
    <row r="19" customFormat="false" ht="19.5" hidden="false" customHeight="true" outlineLevel="0" collapsed="false">
      <c r="A19" s="16" t="n">
        <v>11</v>
      </c>
      <c r="B19" s="17" t="s">
        <v>76</v>
      </c>
      <c r="C19" s="18" t="s">
        <v>74</v>
      </c>
      <c r="D19" s="18" t="s">
        <v>77</v>
      </c>
      <c r="E19" s="19" t="n">
        <f aca="false">COUNTA(G19:U19)</f>
        <v>0</v>
      </c>
      <c r="F19" s="20" t="n">
        <v>5</v>
      </c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</row>
    <row r="20" customFormat="false" ht="19.5" hidden="false" customHeight="true" outlineLevel="0" collapsed="false">
      <c r="A20" s="16" t="n">
        <v>12</v>
      </c>
      <c r="B20" s="17" t="s">
        <v>78</v>
      </c>
      <c r="C20" s="18" t="s">
        <v>74</v>
      </c>
      <c r="D20" s="18" t="s">
        <v>79</v>
      </c>
      <c r="E20" s="19" t="n">
        <f aca="false">COUNTA(G20:U20)</f>
        <v>0</v>
      </c>
      <c r="F20" s="20" t="n">
        <v>7</v>
      </c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</row>
    <row r="21" customFormat="false" ht="45" hidden="false" customHeight="true" outlineLevel="0" collapsed="false">
      <c r="A21" s="16" t="n">
        <v>13</v>
      </c>
      <c r="B21" s="17" t="s">
        <v>80</v>
      </c>
      <c r="C21" s="18" t="s">
        <v>81</v>
      </c>
      <c r="D21" s="18" t="s">
        <v>82</v>
      </c>
      <c r="E21" s="19" t="n">
        <f aca="false">COUNTA(G21:U21)</f>
        <v>0</v>
      </c>
      <c r="F21" s="20" t="s">
        <v>83</v>
      </c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</row>
    <row r="22" customFormat="false" ht="45" hidden="false" customHeight="true" outlineLevel="0" collapsed="false">
      <c r="A22" s="16" t="n">
        <v>14</v>
      </c>
      <c r="B22" s="17" t="s">
        <v>84</v>
      </c>
      <c r="C22" s="18" t="s">
        <v>56</v>
      </c>
      <c r="D22" s="18" t="s">
        <v>85</v>
      </c>
      <c r="E22" s="19" t="n">
        <f aca="false">COUNTA(G22:U22)</f>
        <v>0</v>
      </c>
      <c r="F22" s="20" t="s">
        <v>86</v>
      </c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</row>
    <row r="23" customFormat="false" ht="19.5" hidden="false" customHeight="true" outlineLevel="0" collapsed="false">
      <c r="A23" s="14"/>
      <c r="B23" s="15" t="s">
        <v>87</v>
      </c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</row>
    <row r="24" customFormat="false" ht="19.5" hidden="false" customHeight="true" outlineLevel="0" collapsed="false">
      <c r="A24" s="16" t="n">
        <v>15</v>
      </c>
      <c r="B24" s="17" t="s">
        <v>88</v>
      </c>
      <c r="C24" s="18" t="s">
        <v>56</v>
      </c>
      <c r="D24" s="18" t="s">
        <v>89</v>
      </c>
      <c r="E24" s="19" t="n">
        <f aca="false">COUNTA(G24:U24)</f>
        <v>0</v>
      </c>
      <c r="F24" s="20" t="s">
        <v>90</v>
      </c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</row>
    <row r="25" customFormat="false" ht="19.5" hidden="false" customHeight="true" outlineLevel="0" collapsed="false">
      <c r="A25" s="16" t="n">
        <v>16</v>
      </c>
      <c r="B25" s="17" t="s">
        <v>91</v>
      </c>
      <c r="C25" s="18" t="s">
        <v>56</v>
      </c>
      <c r="D25" s="18" t="s">
        <v>92</v>
      </c>
      <c r="E25" s="19" t="n">
        <f aca="false">COUNTA(G25:U25)</f>
        <v>0</v>
      </c>
      <c r="F25" s="20" t="s">
        <v>93</v>
      </c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</row>
    <row r="26" customFormat="false" ht="45" hidden="false" customHeight="true" outlineLevel="0" collapsed="false">
      <c r="A26" s="16" t="n">
        <v>17</v>
      </c>
      <c r="B26" s="17" t="s">
        <v>94</v>
      </c>
      <c r="C26" s="18" t="s">
        <v>95</v>
      </c>
      <c r="D26" s="18" t="s">
        <v>96</v>
      </c>
      <c r="E26" s="19" t="n">
        <f aca="false">COUNTA(G26:U26)</f>
        <v>0</v>
      </c>
      <c r="F26" s="20" t="s">
        <v>97</v>
      </c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</row>
    <row r="27" customFormat="false" ht="31.5" hidden="false" customHeight="true" outlineLevel="0" collapsed="false">
      <c r="A27" s="16" t="n">
        <v>18</v>
      </c>
      <c r="B27" s="17" t="s">
        <v>98</v>
      </c>
      <c r="C27" s="18" t="s">
        <v>56</v>
      </c>
      <c r="D27" s="18" t="s">
        <v>99</v>
      </c>
      <c r="E27" s="19" t="n">
        <f aca="false">COUNTA(G27:U27)</f>
        <v>0</v>
      </c>
      <c r="F27" s="20" t="s">
        <v>100</v>
      </c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</row>
    <row r="28" customFormat="false" ht="31.5" hidden="false" customHeight="true" outlineLevel="0" collapsed="false">
      <c r="A28" s="16" t="n">
        <v>19</v>
      </c>
      <c r="B28" s="17" t="s">
        <v>101</v>
      </c>
      <c r="C28" s="18" t="s">
        <v>56</v>
      </c>
      <c r="D28" s="18" t="s">
        <v>102</v>
      </c>
      <c r="E28" s="19" t="n">
        <f aca="false">COUNTA(G28:U28)</f>
        <v>0</v>
      </c>
      <c r="F28" s="20" t="s">
        <v>103</v>
      </c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</row>
    <row r="29" customFormat="false" ht="19.5" hidden="false" customHeight="true" outlineLevel="0" collapsed="false">
      <c r="A29" s="14"/>
      <c r="B29" s="15" t="s">
        <v>104</v>
      </c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</row>
    <row r="30" customFormat="false" ht="31.5" hidden="false" customHeight="true" outlineLevel="0" collapsed="false">
      <c r="A30" s="16" t="n">
        <v>20</v>
      </c>
      <c r="B30" s="17" t="s">
        <v>105</v>
      </c>
      <c r="C30" s="18" t="s">
        <v>56</v>
      </c>
      <c r="D30" s="18" t="s">
        <v>106</v>
      </c>
      <c r="E30" s="19" t="n">
        <f aca="false">COUNTA(G30:U30)</f>
        <v>0</v>
      </c>
      <c r="F30" s="20" t="s">
        <v>107</v>
      </c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</row>
    <row r="31" customFormat="false" ht="31.5" hidden="false" customHeight="true" outlineLevel="0" collapsed="false">
      <c r="A31" s="16" t="n">
        <v>21</v>
      </c>
      <c r="B31" s="17" t="s">
        <v>108</v>
      </c>
      <c r="C31" s="18" t="s">
        <v>56</v>
      </c>
      <c r="D31" s="18" t="s">
        <v>109</v>
      </c>
      <c r="E31" s="19" t="n">
        <f aca="false">COUNTA(G31:U31)</f>
        <v>0</v>
      </c>
      <c r="F31" s="20" t="s">
        <v>110</v>
      </c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</row>
    <row r="32" customFormat="false" ht="31.5" hidden="false" customHeight="true" outlineLevel="0" collapsed="false">
      <c r="A32" s="16" t="n">
        <v>22</v>
      </c>
      <c r="B32" s="17" t="s">
        <v>111</v>
      </c>
      <c r="C32" s="18" t="s">
        <v>95</v>
      </c>
      <c r="D32" s="18" t="s">
        <v>112</v>
      </c>
      <c r="E32" s="19" t="n">
        <f aca="false">COUNTA(G32:U32)</f>
        <v>0</v>
      </c>
      <c r="F32" s="20" t="s">
        <v>113</v>
      </c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3" customFormat="false" ht="45" hidden="false" customHeight="true" outlineLevel="0" collapsed="false">
      <c r="A33" s="16" t="n">
        <v>23</v>
      </c>
      <c r="B33" s="17" t="s">
        <v>114</v>
      </c>
      <c r="C33" s="18" t="s">
        <v>56</v>
      </c>
      <c r="D33" s="18" t="s">
        <v>115</v>
      </c>
      <c r="E33" s="19" t="n">
        <f aca="false">COUNTA(G33:U33)</f>
        <v>0</v>
      </c>
      <c r="F33" s="20" t="s">
        <v>116</v>
      </c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</row>
    <row r="34" customFormat="false" ht="31.5" hidden="false" customHeight="true" outlineLevel="0" collapsed="false">
      <c r="A34" s="16" t="n">
        <v>24</v>
      </c>
      <c r="B34" s="17" t="s">
        <v>117</v>
      </c>
      <c r="C34" s="18" t="s">
        <v>56</v>
      </c>
      <c r="D34" s="18" t="s">
        <v>118</v>
      </c>
      <c r="E34" s="19" t="n">
        <f aca="false">COUNTA(G34:U34)</f>
        <v>0</v>
      </c>
      <c r="F34" s="20" t="s">
        <v>119</v>
      </c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</row>
    <row r="35" customFormat="false" ht="31.5" hidden="false" customHeight="true" outlineLevel="0" collapsed="false">
      <c r="A35" s="16" t="n">
        <v>25</v>
      </c>
      <c r="B35" s="17" t="s">
        <v>120</v>
      </c>
      <c r="C35" s="18" t="s">
        <v>95</v>
      </c>
      <c r="D35" s="18" t="s">
        <v>121</v>
      </c>
      <c r="E35" s="19" t="n">
        <f aca="false">COUNTA(G35:U35)</f>
        <v>0</v>
      </c>
      <c r="F35" s="20" t="s">
        <v>122</v>
      </c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</row>
    <row r="36" customFormat="false" ht="19.5" hidden="false" customHeight="true" outlineLevel="0" collapsed="false">
      <c r="A36" s="14"/>
      <c r="B36" s="15" t="s">
        <v>123</v>
      </c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</row>
    <row r="37" customFormat="false" ht="45" hidden="false" customHeight="true" outlineLevel="0" collapsed="false">
      <c r="A37" s="16" t="n">
        <v>26</v>
      </c>
      <c r="B37" s="17" t="s">
        <v>124</v>
      </c>
      <c r="C37" s="18" t="s">
        <v>95</v>
      </c>
      <c r="D37" s="18" t="s">
        <v>125</v>
      </c>
      <c r="E37" s="19" t="n">
        <f aca="false">COUNTA(G37:U37)</f>
        <v>0</v>
      </c>
      <c r="F37" s="20" t="s">
        <v>126</v>
      </c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</row>
    <row r="38" customFormat="false" ht="31.5" hidden="false" customHeight="true" outlineLevel="0" collapsed="false">
      <c r="A38" s="16" t="n">
        <v>27</v>
      </c>
      <c r="B38" s="17" t="s">
        <v>127</v>
      </c>
      <c r="C38" s="18" t="s">
        <v>56</v>
      </c>
      <c r="D38" s="18" t="s">
        <v>128</v>
      </c>
      <c r="E38" s="19" t="n">
        <f aca="false">COUNTA(G38:U38)</f>
        <v>0</v>
      </c>
      <c r="F38" s="20" t="s">
        <v>129</v>
      </c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</row>
    <row r="39" customFormat="false" ht="31.5" hidden="false" customHeight="true" outlineLevel="0" collapsed="false">
      <c r="A39" s="16" t="n">
        <v>28</v>
      </c>
      <c r="B39" s="17" t="s">
        <v>130</v>
      </c>
      <c r="C39" s="18" t="s">
        <v>56</v>
      </c>
      <c r="D39" s="18" t="s">
        <v>131</v>
      </c>
      <c r="E39" s="19" t="n">
        <f aca="false">COUNTA(G39:U39)</f>
        <v>0</v>
      </c>
      <c r="F39" s="20" t="s">
        <v>132</v>
      </c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</row>
    <row r="40" customFormat="false" ht="45" hidden="false" customHeight="true" outlineLevel="0" collapsed="false">
      <c r="A40" s="16" t="n">
        <v>29</v>
      </c>
      <c r="B40" s="17" t="s">
        <v>133</v>
      </c>
      <c r="C40" s="18" t="s">
        <v>81</v>
      </c>
      <c r="D40" s="18" t="s">
        <v>134</v>
      </c>
      <c r="E40" s="19" t="n">
        <f aca="false">COUNTA(G40:U40)</f>
        <v>0</v>
      </c>
      <c r="F40" s="20" t="s">
        <v>135</v>
      </c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</row>
    <row r="41" customFormat="false" ht="31.5" hidden="false" customHeight="true" outlineLevel="0" collapsed="false">
      <c r="A41" s="16" t="n">
        <v>30</v>
      </c>
      <c r="B41" s="17" t="s">
        <v>136</v>
      </c>
      <c r="C41" s="18" t="s">
        <v>56</v>
      </c>
      <c r="D41" s="18" t="s">
        <v>137</v>
      </c>
      <c r="E41" s="19" t="n">
        <f aca="false">COUNTA(G41:U41)</f>
        <v>0</v>
      </c>
      <c r="F41" s="20" t="s">
        <v>138</v>
      </c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</row>
    <row r="42" customFormat="false" ht="19.5" hidden="false" customHeight="true" outlineLevel="0" collapsed="false">
      <c r="A42" s="14"/>
      <c r="B42" s="15" t="s">
        <v>139</v>
      </c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</row>
    <row r="43" customFormat="false" ht="45" hidden="false" customHeight="true" outlineLevel="0" collapsed="false">
      <c r="A43" s="16" t="n">
        <v>31</v>
      </c>
      <c r="B43" s="17" t="s">
        <v>140</v>
      </c>
      <c r="C43" s="18" t="s">
        <v>141</v>
      </c>
      <c r="D43" s="18" t="s">
        <v>142</v>
      </c>
      <c r="E43" s="19" t="n">
        <f aca="false">COUNTA(G43:U43)</f>
        <v>0</v>
      </c>
      <c r="F43" s="20" t="s">
        <v>143</v>
      </c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</row>
    <row r="44" customFormat="false" ht="31.5" hidden="false" customHeight="true" outlineLevel="0" collapsed="false">
      <c r="A44" s="16" t="n">
        <v>32</v>
      </c>
      <c r="B44" s="17" t="s">
        <v>144</v>
      </c>
      <c r="C44" s="18" t="s">
        <v>56</v>
      </c>
      <c r="D44" s="18" t="s">
        <v>145</v>
      </c>
      <c r="E44" s="19" t="n">
        <f aca="false">COUNTA(G44:U44)</f>
        <v>0</v>
      </c>
      <c r="F44" s="20" t="s">
        <v>146</v>
      </c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</row>
    <row r="45" customFormat="false" ht="19.5" hidden="false" customHeight="true" outlineLevel="0" collapsed="false">
      <c r="A45" s="14"/>
      <c r="B45" s="15" t="s">
        <v>147</v>
      </c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</row>
    <row r="46" customFormat="false" ht="45" hidden="false" customHeight="true" outlineLevel="0" collapsed="false">
      <c r="A46" s="16" t="n">
        <v>33</v>
      </c>
      <c r="B46" s="17" t="s">
        <v>148</v>
      </c>
      <c r="C46" s="18" t="s">
        <v>56</v>
      </c>
      <c r="D46" s="18" t="s">
        <v>149</v>
      </c>
      <c r="E46" s="19" t="n">
        <f aca="false">COUNTA(G46:U46)</f>
        <v>0</v>
      </c>
      <c r="F46" s="20" t="s">
        <v>150</v>
      </c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</row>
    <row r="47" customFormat="false" ht="31.5" hidden="false" customHeight="true" outlineLevel="0" collapsed="false">
      <c r="A47" s="16" t="n">
        <v>34</v>
      </c>
      <c r="B47" s="17" t="s">
        <v>151</v>
      </c>
      <c r="C47" s="18" t="s">
        <v>56</v>
      </c>
      <c r="D47" s="18" t="s">
        <v>152</v>
      </c>
      <c r="E47" s="19" t="n">
        <f aca="false">COUNTA(G47:U47)</f>
        <v>0</v>
      </c>
      <c r="F47" s="20" t="s">
        <v>153</v>
      </c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</row>
    <row r="48" customFormat="false" ht="31.5" hidden="false" customHeight="true" outlineLevel="0" collapsed="false">
      <c r="A48" s="16" t="n">
        <v>35</v>
      </c>
      <c r="B48" s="17" t="s">
        <v>154</v>
      </c>
      <c r="C48" s="18" t="s">
        <v>42</v>
      </c>
      <c r="D48" s="18" t="s">
        <v>155</v>
      </c>
      <c r="E48" s="19" t="n">
        <f aca="false">COUNTA(G48:U48)</f>
        <v>0</v>
      </c>
      <c r="F48" s="20" t="s">
        <v>156</v>
      </c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</row>
    <row r="49" customFormat="false" ht="24" hidden="false" customHeight="true" outlineLevel="0" collapsed="false">
      <c r="A49" s="12"/>
      <c r="B49" s="13" t="s">
        <v>157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</row>
    <row r="50" customFormat="false" ht="19.5" hidden="false" customHeight="true" outlineLevel="0" collapsed="false">
      <c r="A50" s="16"/>
      <c r="B50" s="17" t="s">
        <v>158</v>
      </c>
      <c r="C50" s="18" t="s">
        <v>50</v>
      </c>
      <c r="D50" s="18" t="s">
        <v>159</v>
      </c>
      <c r="E50" s="19" t="n">
        <f aca="false">COUNTA(G50:U50)</f>
        <v>0</v>
      </c>
      <c r="F50" s="20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</row>
    <row r="51" customFormat="false" ht="19.5" hidden="false" customHeight="true" outlineLevel="0" collapsed="false">
      <c r="A51" s="16"/>
      <c r="B51" s="17" t="s">
        <v>160</v>
      </c>
      <c r="C51" s="18" t="s">
        <v>42</v>
      </c>
      <c r="D51" s="18" t="s">
        <v>161</v>
      </c>
      <c r="E51" s="19" t="n">
        <f aca="false">COUNTA(G51:U51)</f>
        <v>0</v>
      </c>
      <c r="F51" s="20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</row>
    <row r="52" customFormat="false" ht="19.5" hidden="false" customHeight="true" outlineLevel="0" collapsed="false">
      <c r="A52" s="14"/>
      <c r="B52" s="15" t="s">
        <v>162</v>
      </c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</row>
    <row r="53" customFormat="false" ht="57.75" hidden="false" customHeight="true" outlineLevel="0" collapsed="false">
      <c r="A53" s="16" t="n">
        <v>1</v>
      </c>
      <c r="B53" s="17" t="s">
        <v>163</v>
      </c>
      <c r="C53" s="18" t="s">
        <v>164</v>
      </c>
      <c r="D53" s="18" t="s">
        <v>165</v>
      </c>
      <c r="E53" s="19" t="n">
        <f aca="false">COUNTA(G53:U53)</f>
        <v>0</v>
      </c>
      <c r="F53" s="20" t="s">
        <v>166</v>
      </c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</row>
    <row r="54" customFormat="false" ht="19.5" hidden="false" customHeight="true" outlineLevel="0" collapsed="false">
      <c r="A54" s="14"/>
      <c r="B54" s="15" t="s">
        <v>167</v>
      </c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</row>
    <row r="55" customFormat="false" ht="70.5" hidden="false" customHeight="true" outlineLevel="0" collapsed="false">
      <c r="A55" s="16" t="n">
        <v>2</v>
      </c>
      <c r="B55" s="17" t="s">
        <v>168</v>
      </c>
      <c r="C55" s="18" t="s">
        <v>169</v>
      </c>
      <c r="D55" s="18" t="s">
        <v>170</v>
      </c>
      <c r="E55" s="19" t="n">
        <f aca="false">COUNTA(G55:U55)</f>
        <v>0</v>
      </c>
      <c r="F55" s="20" t="s">
        <v>171</v>
      </c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</row>
    <row r="56" customFormat="false" ht="57.75" hidden="false" customHeight="true" outlineLevel="0" collapsed="false">
      <c r="A56" s="16" t="n">
        <v>3</v>
      </c>
      <c r="B56" s="17" t="s">
        <v>172</v>
      </c>
      <c r="C56" s="18" t="s">
        <v>164</v>
      </c>
      <c r="D56" s="18" t="s">
        <v>173</v>
      </c>
      <c r="E56" s="19" t="n">
        <f aca="false">COUNTA(G56:U56)</f>
        <v>0</v>
      </c>
      <c r="F56" s="20" t="s">
        <v>174</v>
      </c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</row>
    <row r="57" customFormat="false" ht="57.75" hidden="false" customHeight="true" outlineLevel="0" collapsed="false">
      <c r="A57" s="16" t="n">
        <v>4</v>
      </c>
      <c r="B57" s="17" t="s">
        <v>175</v>
      </c>
      <c r="C57" s="18" t="s">
        <v>164</v>
      </c>
      <c r="D57" s="18" t="s">
        <v>176</v>
      </c>
      <c r="E57" s="19" t="n">
        <f aca="false">COUNTA(G57:U57)</f>
        <v>0</v>
      </c>
      <c r="F57" s="20" t="s">
        <v>177</v>
      </c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</row>
    <row r="58" customFormat="false" ht="19.5" hidden="false" customHeight="true" outlineLevel="0" collapsed="false">
      <c r="A58" s="14"/>
      <c r="B58" s="15" t="s">
        <v>178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</row>
    <row r="59" customFormat="false" ht="57.75" hidden="false" customHeight="true" outlineLevel="0" collapsed="false">
      <c r="A59" s="16" t="n">
        <v>5</v>
      </c>
      <c r="B59" s="17" t="s">
        <v>179</v>
      </c>
      <c r="C59" s="18" t="s">
        <v>164</v>
      </c>
      <c r="D59" s="18" t="s">
        <v>180</v>
      </c>
      <c r="E59" s="19" t="n">
        <f aca="false">COUNTA(G59:U59)</f>
        <v>0</v>
      </c>
      <c r="F59" s="20" t="s">
        <v>181</v>
      </c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</row>
    <row r="60" customFormat="false" ht="57.75" hidden="false" customHeight="true" outlineLevel="0" collapsed="false">
      <c r="A60" s="16" t="n">
        <v>6</v>
      </c>
      <c r="B60" s="17" t="s">
        <v>182</v>
      </c>
      <c r="C60" s="18" t="s">
        <v>164</v>
      </c>
      <c r="D60" s="18" t="s">
        <v>183</v>
      </c>
      <c r="E60" s="19" t="n">
        <f aca="false">COUNTA(G60:U60)</f>
        <v>0</v>
      </c>
      <c r="F60" s="20" t="s">
        <v>184</v>
      </c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</row>
    <row r="61" customFormat="false" ht="57.75" hidden="false" customHeight="true" outlineLevel="0" collapsed="false">
      <c r="A61" s="16" t="n">
        <v>7</v>
      </c>
      <c r="B61" s="17" t="s">
        <v>185</v>
      </c>
      <c r="C61" s="18" t="s">
        <v>164</v>
      </c>
      <c r="D61" s="18" t="s">
        <v>186</v>
      </c>
      <c r="E61" s="19" t="n">
        <f aca="false">COUNTA(G61:U61)</f>
        <v>0</v>
      </c>
      <c r="F61" s="20" t="s">
        <v>187</v>
      </c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</row>
    <row r="62" customFormat="false" ht="57.75" hidden="false" customHeight="true" outlineLevel="0" collapsed="false">
      <c r="A62" s="16" t="n">
        <v>8</v>
      </c>
      <c r="B62" s="17" t="s">
        <v>188</v>
      </c>
      <c r="C62" s="18" t="s">
        <v>164</v>
      </c>
      <c r="D62" s="18" t="s">
        <v>189</v>
      </c>
      <c r="E62" s="19" t="n">
        <f aca="false">COUNTA(G62:U62)</f>
        <v>0</v>
      </c>
      <c r="F62" s="20" t="s">
        <v>190</v>
      </c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</row>
    <row r="63" customFormat="false" ht="57.75" hidden="false" customHeight="true" outlineLevel="0" collapsed="false">
      <c r="A63" s="16" t="n">
        <v>9</v>
      </c>
      <c r="B63" s="17" t="s">
        <v>191</v>
      </c>
      <c r="C63" s="18" t="s">
        <v>164</v>
      </c>
      <c r="D63" s="18" t="s">
        <v>192</v>
      </c>
      <c r="E63" s="19" t="n">
        <f aca="false">COUNTA(G63:U63)</f>
        <v>0</v>
      </c>
      <c r="F63" s="20" t="s">
        <v>193</v>
      </c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</row>
    <row r="64" customFormat="false" ht="57.75" hidden="false" customHeight="true" outlineLevel="0" collapsed="false">
      <c r="A64" s="16" t="n">
        <v>10</v>
      </c>
      <c r="B64" s="17" t="s">
        <v>194</v>
      </c>
      <c r="C64" s="18" t="s">
        <v>164</v>
      </c>
      <c r="D64" s="18" t="s">
        <v>195</v>
      </c>
      <c r="E64" s="19" t="n">
        <f aca="false">COUNTA(G64:U64)</f>
        <v>0</v>
      </c>
      <c r="F64" s="20" t="s">
        <v>196</v>
      </c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</row>
    <row r="65" customFormat="false" ht="19.5" hidden="false" customHeight="true" outlineLevel="0" collapsed="false">
      <c r="A65" s="14"/>
      <c r="B65" s="15" t="s">
        <v>197</v>
      </c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</row>
    <row r="66" customFormat="false" ht="57.75" hidden="false" customHeight="true" outlineLevel="0" collapsed="false">
      <c r="A66" s="16" t="n">
        <v>11</v>
      </c>
      <c r="B66" s="17" t="s">
        <v>198</v>
      </c>
      <c r="C66" s="18" t="s">
        <v>164</v>
      </c>
      <c r="D66" s="18" t="s">
        <v>199</v>
      </c>
      <c r="E66" s="19" t="n">
        <f aca="false">COUNTA(G66:U66)</f>
        <v>0</v>
      </c>
      <c r="F66" s="20" t="s">
        <v>200</v>
      </c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</row>
    <row r="67" customFormat="false" ht="57.75" hidden="false" customHeight="true" outlineLevel="0" collapsed="false">
      <c r="A67" s="16" t="n">
        <v>12</v>
      </c>
      <c r="B67" s="17" t="s">
        <v>201</v>
      </c>
      <c r="C67" s="18" t="s">
        <v>164</v>
      </c>
      <c r="D67" s="18" t="s">
        <v>202</v>
      </c>
      <c r="E67" s="19" t="n">
        <f aca="false">COUNTA(G67:U67)</f>
        <v>0</v>
      </c>
      <c r="F67" s="20" t="s">
        <v>203</v>
      </c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</row>
    <row r="68" customFormat="false" ht="57.75" hidden="false" customHeight="true" outlineLevel="0" collapsed="false">
      <c r="A68" s="16" t="n">
        <v>13</v>
      </c>
      <c r="B68" s="17" t="s">
        <v>204</v>
      </c>
      <c r="C68" s="18" t="s">
        <v>164</v>
      </c>
      <c r="D68" s="18" t="s">
        <v>205</v>
      </c>
      <c r="E68" s="19" t="n">
        <f aca="false">COUNTA(G68:U68)</f>
        <v>0</v>
      </c>
      <c r="F68" s="20" t="s">
        <v>206</v>
      </c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</row>
    <row r="69" customFormat="false" ht="19.5" hidden="false" customHeight="true" outlineLevel="0" collapsed="false">
      <c r="A69" s="14"/>
      <c r="B69" s="15" t="s">
        <v>207</v>
      </c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</row>
    <row r="70" customFormat="false" ht="57.75" hidden="false" customHeight="true" outlineLevel="0" collapsed="false">
      <c r="A70" s="16" t="n">
        <v>14</v>
      </c>
      <c r="B70" s="17" t="s">
        <v>208</v>
      </c>
      <c r="C70" s="18" t="s">
        <v>164</v>
      </c>
      <c r="D70" s="18" t="s">
        <v>209</v>
      </c>
      <c r="E70" s="19" t="n">
        <f aca="false">COUNTA(G70:U70)</f>
        <v>0</v>
      </c>
      <c r="F70" s="20" t="s">
        <v>210</v>
      </c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</row>
    <row r="71" customFormat="false" ht="57.75" hidden="false" customHeight="true" outlineLevel="0" collapsed="false">
      <c r="A71" s="16" t="n">
        <v>15</v>
      </c>
      <c r="B71" s="17" t="s">
        <v>211</v>
      </c>
      <c r="C71" s="18" t="s">
        <v>164</v>
      </c>
      <c r="D71" s="18" t="s">
        <v>212</v>
      </c>
      <c r="E71" s="19" t="n">
        <f aca="false">COUNTA(G71:U71)</f>
        <v>0</v>
      </c>
      <c r="F71" s="20" t="s">
        <v>213</v>
      </c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</row>
    <row r="72" customFormat="false" ht="57.75" hidden="false" customHeight="true" outlineLevel="0" collapsed="false">
      <c r="A72" s="16" t="n">
        <v>16</v>
      </c>
      <c r="B72" s="17" t="s">
        <v>214</v>
      </c>
      <c r="C72" s="18" t="s">
        <v>164</v>
      </c>
      <c r="D72" s="18" t="s">
        <v>215</v>
      </c>
      <c r="E72" s="19" t="n">
        <f aca="false">COUNTA(G72:U72)</f>
        <v>0</v>
      </c>
      <c r="F72" s="20" t="s">
        <v>216</v>
      </c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</row>
    <row r="73" customFormat="false" ht="57.75" hidden="false" customHeight="true" outlineLevel="0" collapsed="false">
      <c r="A73" s="16" t="n">
        <v>17</v>
      </c>
      <c r="B73" s="17" t="s">
        <v>217</v>
      </c>
      <c r="C73" s="18" t="s">
        <v>164</v>
      </c>
      <c r="D73" s="18" t="s">
        <v>218</v>
      </c>
      <c r="E73" s="19" t="n">
        <f aca="false">COUNTA(G73:U73)</f>
        <v>0</v>
      </c>
      <c r="F73" s="20" t="s">
        <v>219</v>
      </c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</row>
    <row r="74" customFormat="false" ht="57.75" hidden="false" customHeight="true" outlineLevel="0" collapsed="false">
      <c r="A74" s="16" t="n">
        <v>18</v>
      </c>
      <c r="B74" s="17" t="s">
        <v>220</v>
      </c>
      <c r="C74" s="18" t="s">
        <v>164</v>
      </c>
      <c r="D74" s="18" t="s">
        <v>221</v>
      </c>
      <c r="E74" s="19" t="n">
        <f aca="false">COUNTA(G74:U74)</f>
        <v>0</v>
      </c>
      <c r="F74" s="20" t="s">
        <v>222</v>
      </c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</row>
    <row r="75" customFormat="false" ht="57.75" hidden="false" customHeight="true" outlineLevel="0" collapsed="false">
      <c r="A75" s="16" t="n">
        <v>19</v>
      </c>
      <c r="B75" s="17" t="s">
        <v>223</v>
      </c>
      <c r="C75" s="18" t="s">
        <v>164</v>
      </c>
      <c r="D75" s="18" t="s">
        <v>224</v>
      </c>
      <c r="E75" s="19" t="n">
        <f aca="false">COUNTA(G75:U75)</f>
        <v>0</v>
      </c>
      <c r="F75" s="20" t="s">
        <v>225</v>
      </c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</row>
    <row r="76" customFormat="false" ht="57.75" hidden="false" customHeight="true" outlineLevel="0" collapsed="false">
      <c r="A76" s="16" t="n">
        <v>20</v>
      </c>
      <c r="B76" s="17" t="s">
        <v>226</v>
      </c>
      <c r="C76" s="18" t="s">
        <v>164</v>
      </c>
      <c r="D76" s="18" t="s">
        <v>227</v>
      </c>
      <c r="E76" s="19" t="n">
        <f aca="false">COUNTA(G76:U76)</f>
        <v>0</v>
      </c>
      <c r="F76" s="20" t="s">
        <v>228</v>
      </c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</row>
    <row r="77" customFormat="false" ht="57.75" hidden="false" customHeight="true" outlineLevel="0" collapsed="false">
      <c r="A77" s="16" t="n">
        <v>21</v>
      </c>
      <c r="B77" s="17" t="s">
        <v>229</v>
      </c>
      <c r="C77" s="18" t="s">
        <v>164</v>
      </c>
      <c r="D77" s="18" t="s">
        <v>230</v>
      </c>
      <c r="E77" s="19" t="n">
        <f aca="false">COUNTA(G77:U77)</f>
        <v>0</v>
      </c>
      <c r="F77" s="20" t="s">
        <v>231</v>
      </c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</row>
    <row r="78" customFormat="false" ht="19.5" hidden="false" customHeight="true" outlineLevel="0" collapsed="false">
      <c r="A78" s="14"/>
      <c r="B78" s="15" t="s">
        <v>232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</row>
    <row r="79" customFormat="false" ht="57.75" hidden="false" customHeight="true" outlineLevel="0" collapsed="false">
      <c r="A79" s="16" t="n">
        <v>22</v>
      </c>
      <c r="B79" s="17" t="s">
        <v>233</v>
      </c>
      <c r="C79" s="18" t="s">
        <v>164</v>
      </c>
      <c r="D79" s="18" t="s">
        <v>234</v>
      </c>
      <c r="E79" s="19" t="n">
        <f aca="false">COUNTA(G79:U79)</f>
        <v>0</v>
      </c>
      <c r="F79" s="20" t="s">
        <v>235</v>
      </c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</row>
    <row r="80" customFormat="false" ht="57.75" hidden="false" customHeight="true" outlineLevel="0" collapsed="false">
      <c r="A80" s="16" t="n">
        <v>23</v>
      </c>
      <c r="B80" s="17" t="s">
        <v>236</v>
      </c>
      <c r="C80" s="18" t="s">
        <v>164</v>
      </c>
      <c r="D80" s="18" t="s">
        <v>237</v>
      </c>
      <c r="E80" s="19" t="n">
        <f aca="false">COUNTA(G80:U80)</f>
        <v>0</v>
      </c>
      <c r="F80" s="20" t="s">
        <v>238</v>
      </c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</row>
    <row r="81" customFormat="false" ht="57.75" hidden="false" customHeight="true" outlineLevel="0" collapsed="false">
      <c r="A81" s="16" t="n">
        <v>24</v>
      </c>
      <c r="B81" s="17" t="s">
        <v>239</v>
      </c>
      <c r="C81" s="18" t="s">
        <v>164</v>
      </c>
      <c r="D81" s="18" t="s">
        <v>240</v>
      </c>
      <c r="E81" s="19" t="n">
        <f aca="false">COUNTA(G81:U81)</f>
        <v>0</v>
      </c>
      <c r="F81" s="20" t="s">
        <v>241</v>
      </c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</row>
    <row r="82" customFormat="false" ht="57.75" hidden="false" customHeight="true" outlineLevel="0" collapsed="false">
      <c r="A82" s="16" t="n">
        <v>25</v>
      </c>
      <c r="B82" s="17" t="s">
        <v>242</v>
      </c>
      <c r="C82" s="18" t="s">
        <v>164</v>
      </c>
      <c r="D82" s="18" t="s">
        <v>243</v>
      </c>
      <c r="E82" s="19" t="n">
        <f aca="false">COUNTA(G82:U82)</f>
        <v>0</v>
      </c>
      <c r="F82" s="20" t="s">
        <v>244</v>
      </c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</row>
    <row r="83" customFormat="false" ht="57.75" hidden="false" customHeight="true" outlineLevel="0" collapsed="false">
      <c r="A83" s="16" t="n">
        <v>26</v>
      </c>
      <c r="B83" s="17" t="s">
        <v>245</v>
      </c>
      <c r="C83" s="18" t="s">
        <v>164</v>
      </c>
      <c r="D83" s="18" t="s">
        <v>246</v>
      </c>
      <c r="E83" s="19" t="n">
        <f aca="false">COUNTA(G83:U83)</f>
        <v>0</v>
      </c>
      <c r="F83" s="20" t="s">
        <v>247</v>
      </c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</row>
    <row r="84" customFormat="false" ht="57.75" hidden="false" customHeight="true" outlineLevel="0" collapsed="false">
      <c r="A84" s="16" t="n">
        <v>27</v>
      </c>
      <c r="B84" s="17" t="s">
        <v>248</v>
      </c>
      <c r="C84" s="18" t="s">
        <v>164</v>
      </c>
      <c r="D84" s="18" t="s">
        <v>249</v>
      </c>
      <c r="E84" s="19" t="n">
        <f aca="false">COUNTA(G84:U84)</f>
        <v>0</v>
      </c>
      <c r="F84" s="20" t="s">
        <v>250</v>
      </c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</row>
    <row r="85" customFormat="false" ht="57.75" hidden="false" customHeight="true" outlineLevel="0" collapsed="false">
      <c r="A85" s="16" t="n">
        <v>28</v>
      </c>
      <c r="B85" s="17" t="s">
        <v>251</v>
      </c>
      <c r="C85" s="18" t="s">
        <v>164</v>
      </c>
      <c r="D85" s="18" t="s">
        <v>252</v>
      </c>
      <c r="E85" s="19" t="n">
        <f aca="false">COUNTA(G85:U85)</f>
        <v>0</v>
      </c>
      <c r="F85" s="20" t="s">
        <v>253</v>
      </c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</row>
    <row r="86" customFormat="false" ht="19.5" hidden="false" customHeight="true" outlineLevel="0" collapsed="false">
      <c r="A86" s="14"/>
      <c r="B86" s="15" t="s">
        <v>254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</row>
    <row r="87" customFormat="false" ht="57.75" hidden="false" customHeight="true" outlineLevel="0" collapsed="false">
      <c r="A87" s="16" t="n">
        <v>29</v>
      </c>
      <c r="B87" s="17" t="s">
        <v>255</v>
      </c>
      <c r="C87" s="18" t="s">
        <v>164</v>
      </c>
      <c r="D87" s="18" t="s">
        <v>256</v>
      </c>
      <c r="E87" s="19" t="n">
        <f aca="false">COUNTA(G87:U87)</f>
        <v>0</v>
      </c>
      <c r="F87" s="20" t="s">
        <v>257</v>
      </c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</row>
    <row r="88" customFormat="false" ht="57.75" hidden="false" customHeight="true" outlineLevel="0" collapsed="false">
      <c r="A88" s="16" t="n">
        <v>30</v>
      </c>
      <c r="B88" s="17" t="s">
        <v>258</v>
      </c>
      <c r="C88" s="18" t="s">
        <v>164</v>
      </c>
      <c r="D88" s="18" t="s">
        <v>259</v>
      </c>
      <c r="E88" s="19" t="n">
        <f aca="false">COUNTA(G88:U88)</f>
        <v>0</v>
      </c>
      <c r="F88" s="20" t="s">
        <v>260</v>
      </c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</row>
    <row r="89" customFormat="false" ht="57.75" hidden="false" customHeight="true" outlineLevel="0" collapsed="false">
      <c r="A89" s="16" t="n">
        <v>31</v>
      </c>
      <c r="B89" s="17" t="s">
        <v>261</v>
      </c>
      <c r="C89" s="18" t="s">
        <v>164</v>
      </c>
      <c r="D89" s="18" t="s">
        <v>262</v>
      </c>
      <c r="E89" s="19" t="n">
        <f aca="false">COUNTA(G89:U89)</f>
        <v>0</v>
      </c>
      <c r="F89" s="20" t="s">
        <v>263</v>
      </c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</row>
    <row r="90" customFormat="false" ht="57.75" hidden="false" customHeight="true" outlineLevel="0" collapsed="false">
      <c r="A90" s="16" t="n">
        <v>32</v>
      </c>
      <c r="B90" s="17" t="s">
        <v>264</v>
      </c>
      <c r="C90" s="18" t="s">
        <v>164</v>
      </c>
      <c r="D90" s="18" t="s">
        <v>265</v>
      </c>
      <c r="E90" s="19" t="n">
        <f aca="false">COUNTA(G90:U90)</f>
        <v>0</v>
      </c>
      <c r="F90" s="20" t="s">
        <v>266</v>
      </c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</row>
    <row r="91" customFormat="false" ht="57.75" hidden="false" customHeight="true" outlineLevel="0" collapsed="false">
      <c r="A91" s="16" t="n">
        <v>33</v>
      </c>
      <c r="B91" s="17" t="s">
        <v>267</v>
      </c>
      <c r="C91" s="18" t="s">
        <v>164</v>
      </c>
      <c r="D91" s="18" t="s">
        <v>268</v>
      </c>
      <c r="E91" s="19" t="n">
        <f aca="false">COUNTA(G91:U91)</f>
        <v>0</v>
      </c>
      <c r="F91" s="20" t="s">
        <v>269</v>
      </c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</row>
    <row r="92" customFormat="false" ht="57.75" hidden="false" customHeight="true" outlineLevel="0" collapsed="false">
      <c r="A92" s="16" t="n">
        <v>34</v>
      </c>
      <c r="B92" s="17" t="s">
        <v>270</v>
      </c>
      <c r="C92" s="18" t="s">
        <v>164</v>
      </c>
      <c r="D92" s="18" t="s">
        <v>271</v>
      </c>
      <c r="E92" s="19" t="n">
        <f aca="false">COUNTA(G92:U92)</f>
        <v>0</v>
      </c>
      <c r="F92" s="20" t="s">
        <v>272</v>
      </c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</row>
    <row r="93" customFormat="false" ht="19.5" hidden="false" customHeight="true" outlineLevel="0" collapsed="false">
      <c r="A93" s="14"/>
      <c r="B93" s="15" t="s">
        <v>273</v>
      </c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</row>
    <row r="94" customFormat="false" ht="57.75" hidden="false" customHeight="true" outlineLevel="0" collapsed="false">
      <c r="A94" s="16" t="n">
        <v>35</v>
      </c>
      <c r="B94" s="17" t="s">
        <v>274</v>
      </c>
      <c r="C94" s="18" t="s">
        <v>164</v>
      </c>
      <c r="D94" s="18" t="s">
        <v>275</v>
      </c>
      <c r="E94" s="19" t="n">
        <f aca="false">COUNTA(G94:U94)</f>
        <v>0</v>
      </c>
      <c r="F94" s="20" t="s">
        <v>276</v>
      </c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</row>
    <row r="95" customFormat="false" ht="57.75" hidden="false" customHeight="true" outlineLevel="0" collapsed="false">
      <c r="A95" s="16" t="n">
        <v>36</v>
      </c>
      <c r="B95" s="17" t="s">
        <v>277</v>
      </c>
      <c r="C95" s="18" t="s">
        <v>164</v>
      </c>
      <c r="D95" s="18" t="s">
        <v>278</v>
      </c>
      <c r="E95" s="19" t="n">
        <f aca="false">COUNTA(G95:U95)</f>
        <v>0</v>
      </c>
      <c r="F95" s="20" t="s">
        <v>279</v>
      </c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</row>
    <row r="96" customFormat="false" ht="19.5" hidden="false" customHeight="true" outlineLevel="0" collapsed="false">
      <c r="A96" s="14"/>
      <c r="B96" s="15" t="s">
        <v>280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</row>
    <row r="97" customFormat="false" ht="57.75" hidden="false" customHeight="true" outlineLevel="0" collapsed="false">
      <c r="A97" s="16" t="n">
        <v>37</v>
      </c>
      <c r="B97" s="17" t="s">
        <v>281</v>
      </c>
      <c r="C97" s="18" t="s">
        <v>164</v>
      </c>
      <c r="D97" s="18" t="s">
        <v>282</v>
      </c>
      <c r="E97" s="19" t="n">
        <f aca="false">COUNTA(G97:U97)</f>
        <v>0</v>
      </c>
      <c r="F97" s="20" t="s">
        <v>283</v>
      </c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</row>
    <row r="98" customFormat="false" ht="57.75" hidden="false" customHeight="true" outlineLevel="0" collapsed="false">
      <c r="A98" s="16" t="s">
        <v>284</v>
      </c>
      <c r="B98" s="17" t="s">
        <v>285</v>
      </c>
      <c r="C98" s="18" t="s">
        <v>164</v>
      </c>
      <c r="D98" s="18" t="s">
        <v>286</v>
      </c>
      <c r="E98" s="19" t="n">
        <f aca="false">COUNTA(G98:U98)</f>
        <v>0</v>
      </c>
      <c r="F98" s="20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</row>
    <row r="99" customFormat="false" ht="24" hidden="false" customHeight="true" outlineLevel="0" collapsed="false">
      <c r="A99" s="12"/>
      <c r="B99" s="13" t="s">
        <v>287</v>
      </c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</row>
    <row r="100" customFormat="false" ht="84" hidden="false" customHeight="true" outlineLevel="0" collapsed="false">
      <c r="A100" s="16"/>
      <c r="B100" s="17" t="s">
        <v>288</v>
      </c>
      <c r="C100" s="18" t="s">
        <v>95</v>
      </c>
      <c r="D100" s="18" t="s">
        <v>289</v>
      </c>
      <c r="E100" s="19" t="n">
        <f aca="false">COUNTA(G100:U100)</f>
        <v>0</v>
      </c>
      <c r="F100" s="20" t="s">
        <v>290</v>
      </c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</row>
    <row r="101" customFormat="false" ht="57.75" hidden="false" customHeight="true" outlineLevel="0" collapsed="false">
      <c r="A101" s="16"/>
      <c r="B101" s="17" t="s">
        <v>291</v>
      </c>
      <c r="C101" s="18" t="s">
        <v>292</v>
      </c>
      <c r="D101" s="18" t="s">
        <v>293</v>
      </c>
      <c r="E101" s="19" t="n">
        <f aca="false">COUNTA(G101:U101)</f>
        <v>0</v>
      </c>
      <c r="F101" s="20" t="s">
        <v>294</v>
      </c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</row>
    <row r="102" customFormat="false" ht="57.75" hidden="false" customHeight="true" outlineLevel="0" collapsed="false">
      <c r="A102" s="16"/>
      <c r="B102" s="17" t="s">
        <v>295</v>
      </c>
      <c r="C102" s="18" t="s">
        <v>292</v>
      </c>
      <c r="D102" s="18" t="s">
        <v>296</v>
      </c>
      <c r="E102" s="19" t="n">
        <f aca="false">COUNTA(G102:U102)</f>
        <v>0</v>
      </c>
      <c r="F102" s="20" t="s">
        <v>297</v>
      </c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</row>
    <row r="103" customFormat="false" ht="19.5" hidden="false" customHeight="true" outlineLevel="0" collapsed="false">
      <c r="A103" s="16"/>
      <c r="B103" s="17" t="s">
        <v>298</v>
      </c>
      <c r="C103" s="18" t="s">
        <v>56</v>
      </c>
      <c r="D103" s="18" t="s">
        <v>299</v>
      </c>
      <c r="E103" s="19" t="n">
        <f aca="false">COUNTA(G103:U103)</f>
        <v>0</v>
      </c>
      <c r="F103" s="20" t="s">
        <v>300</v>
      </c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</row>
  </sheetData>
  <mergeCells count="3">
    <mergeCell ref="A1:B1"/>
    <mergeCell ref="A2:B2"/>
    <mergeCell ref="A3:B3"/>
  </mergeCells>
  <dataValidations count="22">
    <dataValidation allowBlank="true" errorStyle="stop" operator="between" showDropDown="false" showErrorMessage="false" showInputMessage="false" sqref="G11:U11" type="list">
      <formula1>Списки!$A$1:$A$6</formula1>
      <formula2>0</formula2>
    </dataValidation>
    <dataValidation allowBlank="true" errorStyle="stop" operator="between" showDropDown="false" showErrorMessage="false" showInputMessage="false" sqref="G13:U13" type="list">
      <formula1>Списки!$B$1:$B$6</formula1>
      <formula2>0</formula2>
    </dataValidation>
    <dataValidation allowBlank="true" errorStyle="stop" operator="between" showDropDown="false" showErrorMessage="false" showInputMessage="false" sqref="G14:U14" type="list">
      <formula1>Списки!$C$1:$C$8</formula1>
      <formula2>0</formula2>
    </dataValidation>
    <dataValidation allowBlank="true" errorStyle="stop" operator="between" showDropDown="false" showErrorMessage="false" showInputMessage="false" sqref="G15:U15" type="list">
      <formula1>Списки!$D$1:$D$5</formula1>
      <formula2>0</formula2>
    </dataValidation>
    <dataValidation allowBlank="true" errorStyle="stop" operator="between" showDropDown="false" showErrorMessage="false" showInputMessage="false" sqref="G16:U16" type="list">
      <formula1>Списки!$E$1:$E$7</formula1>
      <formula2>0</formula2>
    </dataValidation>
    <dataValidation allowBlank="true" errorStyle="stop" operator="between" showDropDown="false" showErrorMessage="false" showInputMessage="false" sqref="G18:U20" type="list">
      <formula1>"1,2,3,4,5,6,7,8,9,10"</formula1>
      <formula2>0</formula2>
    </dataValidation>
    <dataValidation allowBlank="true" errorStyle="stop" operator="between" showDropDown="false" showErrorMessage="false" showInputMessage="false" sqref="G22:U22" type="list">
      <formula1>Списки!$F$1:$F$5</formula1>
      <formula2>0</formula2>
    </dataValidation>
    <dataValidation allowBlank="true" errorStyle="stop" operator="between" showDropDown="false" showErrorMessage="false" showInputMessage="false" sqref="G24:U24" type="list">
      <formula1>Списки!$G$1:$G$3</formula1>
      <formula2>0</formula2>
    </dataValidation>
    <dataValidation allowBlank="true" errorStyle="stop" operator="between" showDropDown="false" showErrorMessage="false" showInputMessage="false" sqref="G25:U25" type="list">
      <formula1>Списки!$H$1:$H$3</formula1>
      <formula2>0</formula2>
    </dataValidation>
    <dataValidation allowBlank="true" errorStyle="stop" operator="between" showDropDown="false" showErrorMessage="false" showInputMessage="false" sqref="G27:U27" type="list">
      <formula1>Списки!$I$1:$I$5</formula1>
      <formula2>0</formula2>
    </dataValidation>
    <dataValidation allowBlank="true" errorStyle="stop" operator="between" showDropDown="false" showErrorMessage="false" showInputMessage="false" sqref="G28:U28" type="list">
      <formula1>Списки!$J$1:$J$4</formula1>
      <formula2>0</formula2>
    </dataValidation>
    <dataValidation allowBlank="true" errorStyle="stop" operator="between" showDropDown="false" showErrorMessage="false" showInputMessage="false" sqref="G30:U30" type="list">
      <formula1>Списки!$K$1:$K$6</formula1>
      <formula2>0</formula2>
    </dataValidation>
    <dataValidation allowBlank="true" errorStyle="stop" operator="between" showDropDown="false" showErrorMessage="false" showInputMessage="false" sqref="G31:U31" type="list">
      <formula1>Списки!$L$1:$L$6</formula1>
      <formula2>0</formula2>
    </dataValidation>
    <dataValidation allowBlank="true" errorStyle="stop" operator="between" showDropDown="false" showErrorMessage="false" showInputMessage="false" sqref="G33:U33" type="list">
      <formula1>Списки!$M$1:$M$6</formula1>
      <formula2>0</formula2>
    </dataValidation>
    <dataValidation allowBlank="true" errorStyle="stop" operator="between" showDropDown="false" showErrorMessage="false" showInputMessage="false" sqref="G34:U34" type="list">
      <formula1>Списки!$N$1:$N$5</formula1>
      <formula2>0</formula2>
    </dataValidation>
    <dataValidation allowBlank="true" errorStyle="stop" operator="between" showDropDown="false" showErrorMessage="false" showInputMessage="false" sqref="G38:U38" type="list">
      <formula1>Списки!$O$1:$O$5</formula1>
      <formula2>0</formula2>
    </dataValidation>
    <dataValidation allowBlank="true" errorStyle="stop" operator="between" showDropDown="false" showErrorMessage="false" showInputMessage="false" sqref="G39:U39" type="list">
      <formula1>Списки!$P$1:$P$4</formula1>
      <formula2>0</formula2>
    </dataValidation>
    <dataValidation allowBlank="true" errorStyle="stop" operator="between" showDropDown="false" showErrorMessage="false" showInputMessage="false" sqref="G41:U41" type="list">
      <formula1>Списки!$Q$1:$Q$3</formula1>
      <formula2>0</formula2>
    </dataValidation>
    <dataValidation allowBlank="true" errorStyle="stop" operator="between" showDropDown="false" showErrorMessage="false" showInputMessage="false" sqref="G44:U44" type="list">
      <formula1>Списки!$R$1:$R$4</formula1>
      <formula2>0</formula2>
    </dataValidation>
    <dataValidation allowBlank="true" errorStyle="stop" operator="between" showDropDown="false" showErrorMessage="false" showInputMessage="false" sqref="G46:U46" type="list">
      <formula1>Списки!$S$1:$S$7</formula1>
      <formula2>0</formula2>
    </dataValidation>
    <dataValidation allowBlank="true" errorStyle="stop" operator="between" showDropDown="false" showErrorMessage="false" showInputMessage="false" sqref="G47:U47" type="list">
      <formula1>Списки!$T$1:$T$5</formula1>
      <formula2>0</formula2>
    </dataValidation>
    <dataValidation allowBlank="true" errorStyle="stop" operator="between" showDropDown="false" showErrorMessage="false" showInputMessage="false" sqref="G103:U103" type="list">
      <formula1>Списки!$U$1:$U$2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F46B8"/>
    <pageSetUpPr fitToPage="false"/>
  </sheetPr>
  <dimension ref="A1:P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17"/>
    <col collapsed="false" customWidth="true" hidden="false" outlineLevel="0" max="4" min="4" style="0" width="42"/>
    <col collapsed="false" customWidth="true" hidden="false" outlineLevel="0" max="5" min="5" style="0" width="10"/>
    <col collapsed="false" customWidth="true" hidden="false" outlineLevel="0" max="16" min="6" style="0" width="30"/>
  </cols>
  <sheetData>
    <row r="1" customFormat="false" ht="25.5" hidden="false" customHeight="true" outlineLevel="0" collapsed="false">
      <c r="A1" s="10" t="s">
        <v>301</v>
      </c>
      <c r="B1" s="10"/>
    </row>
    <row r="2" customFormat="false" ht="43.5" hidden="false" customHeight="true" outlineLevel="0" collapsed="false">
      <c r="A2" s="11" t="s">
        <v>302</v>
      </c>
      <c r="B2" s="11"/>
    </row>
    <row r="3" customFormat="false" ht="31.5" hidden="false" customHeight="true" outlineLevel="0" collapsed="false">
      <c r="A3" s="11" t="s">
        <v>34</v>
      </c>
      <c r="B3" s="11"/>
    </row>
    <row r="4" customFormat="false" ht="30" hidden="false" customHeight="true" outlineLevel="0" collapsed="false">
      <c r="A4" s="5" t="s">
        <v>35</v>
      </c>
      <c r="B4" s="5" t="s">
        <v>36</v>
      </c>
      <c r="C4" s="5" t="s">
        <v>37</v>
      </c>
      <c r="D4" s="5" t="s">
        <v>38</v>
      </c>
      <c r="E4" s="5" t="s">
        <v>13</v>
      </c>
      <c r="F4" s="5" t="s">
        <v>11</v>
      </c>
      <c r="G4" s="5" t="str">
        <f aca="false">IF(G$6="","Человек 1",G$6)</f>
        <v>Человек 1</v>
      </c>
      <c r="H4" s="5" t="str">
        <f aca="false">IF(H$6="","Человек 2",H$6)</f>
        <v>Человек 2</v>
      </c>
      <c r="I4" s="5" t="str">
        <f aca="false">IF(I$6="","Человек 3",I$6)</f>
        <v>Человек 3</v>
      </c>
      <c r="J4" s="5" t="str">
        <f aca="false">IF(J$6="","Человек 4",J$6)</f>
        <v>Человек 4</v>
      </c>
      <c r="K4" s="5" t="str">
        <f aca="false">IF(K$6="","Человек 5",K$6)</f>
        <v>Человек 5</v>
      </c>
      <c r="L4" s="5" t="str">
        <f aca="false">IF(L$6="","Человек 6",L$6)</f>
        <v>Человек 6</v>
      </c>
      <c r="M4" s="5" t="str">
        <f aca="false">IF(M$6="","Человек 7",M$6)</f>
        <v>Человек 7</v>
      </c>
      <c r="N4" s="5" t="str">
        <f aca="false">IF(N$6="","Человек 8",N$6)</f>
        <v>Человек 8</v>
      </c>
      <c r="O4" s="5" t="str">
        <f aca="false">IF(O$6="","Человек 9",O$6)</f>
        <v>Человек 9</v>
      </c>
      <c r="P4" s="5" t="str">
        <f aca="false">IF(P$6="","Человек 10",P$6)</f>
        <v>Человек 10</v>
      </c>
    </row>
    <row r="5" customFormat="false" ht="24" hidden="false" customHeight="true" outlineLevel="0" collapsed="false">
      <c r="A5" s="12"/>
      <c r="B5" s="13" t="s">
        <v>39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customFormat="false" ht="19.5" hidden="false" customHeight="true" outlineLevel="0" collapsed="false">
      <c r="A6" s="16" t="n">
        <v>1</v>
      </c>
      <c r="B6" s="17" t="s">
        <v>303</v>
      </c>
      <c r="C6" s="18" t="s">
        <v>42</v>
      </c>
      <c r="D6" s="18" t="s">
        <v>304</v>
      </c>
      <c r="E6" s="19" t="n">
        <f aca="false">COUNTA(G6:P6)</f>
        <v>0</v>
      </c>
      <c r="F6" s="20" t="s">
        <v>305</v>
      </c>
      <c r="G6" s="21"/>
      <c r="H6" s="21"/>
      <c r="I6" s="21"/>
      <c r="J6" s="21"/>
      <c r="K6" s="21"/>
      <c r="L6" s="21"/>
      <c r="M6" s="21"/>
      <c r="N6" s="21"/>
      <c r="O6" s="21"/>
      <c r="P6" s="21"/>
    </row>
    <row r="7" customFormat="false" ht="19.5" hidden="false" customHeight="true" outlineLevel="0" collapsed="false">
      <c r="A7" s="16" t="n">
        <v>2</v>
      </c>
      <c r="B7" s="17" t="s">
        <v>306</v>
      </c>
      <c r="C7" s="18" t="s">
        <v>42</v>
      </c>
      <c r="D7" s="18" t="s">
        <v>53</v>
      </c>
      <c r="E7" s="19" t="n">
        <f aca="false">COUNTA(G7:P7)</f>
        <v>0</v>
      </c>
      <c r="F7" s="20" t="s">
        <v>54</v>
      </c>
      <c r="G7" s="21"/>
      <c r="H7" s="21"/>
      <c r="I7" s="21"/>
      <c r="J7" s="21"/>
      <c r="K7" s="21"/>
      <c r="L7" s="21"/>
      <c r="M7" s="21"/>
      <c r="N7" s="21"/>
      <c r="O7" s="21"/>
      <c r="P7" s="21"/>
    </row>
    <row r="8" customFormat="false" ht="70.5" hidden="false" customHeight="true" outlineLevel="0" collapsed="false">
      <c r="A8" s="16" t="n">
        <v>3</v>
      </c>
      <c r="B8" s="17" t="s">
        <v>307</v>
      </c>
      <c r="C8" s="18" t="s">
        <v>141</v>
      </c>
      <c r="D8" s="18" t="s">
        <v>308</v>
      </c>
      <c r="E8" s="19" t="n">
        <f aca="false">COUNTA(G8:P8)</f>
        <v>0</v>
      </c>
      <c r="F8" s="20" t="s">
        <v>309</v>
      </c>
      <c r="G8" s="21"/>
      <c r="H8" s="21"/>
      <c r="I8" s="21"/>
      <c r="J8" s="21"/>
      <c r="K8" s="21"/>
      <c r="L8" s="21"/>
      <c r="M8" s="21"/>
      <c r="N8" s="21"/>
      <c r="O8" s="21"/>
      <c r="P8" s="21"/>
    </row>
    <row r="9" customFormat="false" ht="19.5" hidden="false" customHeight="true" outlineLevel="0" collapsed="false">
      <c r="A9" s="16" t="n">
        <v>4</v>
      </c>
      <c r="B9" s="17" t="s">
        <v>310</v>
      </c>
      <c r="C9" s="18" t="s">
        <v>42</v>
      </c>
      <c r="D9" s="18" t="s">
        <v>311</v>
      </c>
      <c r="E9" s="19" t="n">
        <f aca="false">COUNTA(G9:P9)</f>
        <v>0</v>
      </c>
      <c r="F9" s="20" t="s">
        <v>312</v>
      </c>
      <c r="G9" s="21"/>
      <c r="H9" s="21"/>
      <c r="I9" s="21"/>
      <c r="J9" s="21"/>
      <c r="K9" s="21"/>
      <c r="L9" s="21"/>
      <c r="M9" s="21"/>
      <c r="N9" s="21"/>
      <c r="O9" s="21"/>
      <c r="P9" s="21"/>
    </row>
    <row r="10" customFormat="false" ht="31.5" hidden="false" customHeight="true" outlineLevel="0" collapsed="false">
      <c r="A10" s="16" t="n">
        <v>5</v>
      </c>
      <c r="B10" s="17" t="s">
        <v>313</v>
      </c>
      <c r="C10" s="18" t="s">
        <v>56</v>
      </c>
      <c r="D10" s="18" t="s">
        <v>314</v>
      </c>
      <c r="E10" s="19" t="n">
        <f aca="false">COUNTA(G10:P10)</f>
        <v>0</v>
      </c>
      <c r="F10" s="20" t="s">
        <v>315</v>
      </c>
      <c r="G10" s="21"/>
      <c r="H10" s="21"/>
      <c r="I10" s="21"/>
      <c r="J10" s="21"/>
      <c r="K10" s="21"/>
      <c r="L10" s="21"/>
      <c r="M10" s="21"/>
      <c r="N10" s="21"/>
      <c r="O10" s="21"/>
      <c r="P10" s="21"/>
    </row>
    <row r="11" customFormat="false" ht="31.5" hidden="false" customHeight="true" outlineLevel="0" collapsed="false">
      <c r="A11" s="16" t="n">
        <v>6</v>
      </c>
      <c r="B11" s="17" t="s">
        <v>316</v>
      </c>
      <c r="C11" s="18" t="s">
        <v>56</v>
      </c>
      <c r="D11" s="18" t="s">
        <v>317</v>
      </c>
      <c r="E11" s="19" t="n">
        <f aca="false">COUNTA(G11:P11)</f>
        <v>0</v>
      </c>
      <c r="F11" s="20" t="s">
        <v>318</v>
      </c>
      <c r="G11" s="21"/>
      <c r="H11" s="21"/>
      <c r="I11" s="21"/>
      <c r="J11" s="21"/>
      <c r="K11" s="21"/>
      <c r="L11" s="21"/>
      <c r="M11" s="21"/>
      <c r="N11" s="21"/>
      <c r="O11" s="21"/>
      <c r="P11" s="21"/>
    </row>
    <row r="12" customFormat="false" ht="57.75" hidden="false" customHeight="true" outlineLevel="0" collapsed="false">
      <c r="A12" s="16" t="n">
        <v>7</v>
      </c>
      <c r="B12" s="17" t="s">
        <v>319</v>
      </c>
      <c r="C12" s="18" t="s">
        <v>95</v>
      </c>
      <c r="D12" s="18" t="s">
        <v>320</v>
      </c>
      <c r="E12" s="19" t="n">
        <f aca="false">COUNTA(G12:P12)</f>
        <v>0</v>
      </c>
      <c r="F12" s="20" t="s">
        <v>321</v>
      </c>
      <c r="G12" s="21"/>
      <c r="H12" s="21"/>
      <c r="I12" s="21"/>
      <c r="J12" s="21"/>
      <c r="K12" s="21"/>
      <c r="L12" s="21"/>
      <c r="M12" s="21"/>
      <c r="N12" s="21"/>
      <c r="O12" s="21"/>
      <c r="P12" s="21"/>
    </row>
    <row r="13" customFormat="false" ht="31.5" hidden="false" customHeight="true" outlineLevel="0" collapsed="false">
      <c r="A13" s="16" t="n">
        <v>8</v>
      </c>
      <c r="B13" s="17" t="s">
        <v>322</v>
      </c>
      <c r="C13" s="18" t="s">
        <v>56</v>
      </c>
      <c r="D13" s="18" t="s">
        <v>323</v>
      </c>
      <c r="E13" s="19" t="n">
        <f aca="false">COUNTA(G13:P13)</f>
        <v>0</v>
      </c>
      <c r="F13" s="20" t="s">
        <v>324</v>
      </c>
      <c r="G13" s="21"/>
      <c r="H13" s="21"/>
      <c r="I13" s="21"/>
      <c r="J13" s="21"/>
      <c r="K13" s="21"/>
      <c r="L13" s="21"/>
      <c r="M13" s="21"/>
      <c r="N13" s="21"/>
      <c r="O13" s="21"/>
      <c r="P13" s="21"/>
    </row>
    <row r="14" customFormat="false" ht="57.75" hidden="false" customHeight="true" outlineLevel="0" collapsed="false">
      <c r="A14" s="16" t="n">
        <v>9</v>
      </c>
      <c r="B14" s="17" t="s">
        <v>325</v>
      </c>
      <c r="C14" s="18" t="s">
        <v>95</v>
      </c>
      <c r="D14" s="18" t="s">
        <v>326</v>
      </c>
      <c r="E14" s="19" t="n">
        <f aca="false">COUNTA(G14:P14)</f>
        <v>0</v>
      </c>
      <c r="F14" s="20" t="s">
        <v>327</v>
      </c>
      <c r="G14" s="21"/>
      <c r="H14" s="21"/>
      <c r="I14" s="21"/>
      <c r="J14" s="21"/>
      <c r="K14" s="21"/>
      <c r="L14" s="21"/>
      <c r="M14" s="21"/>
      <c r="N14" s="21"/>
      <c r="O14" s="21"/>
      <c r="P14" s="21"/>
    </row>
    <row r="15" customFormat="false" ht="31.5" hidden="false" customHeight="true" outlineLevel="0" collapsed="false">
      <c r="A15" s="16" t="n">
        <v>10</v>
      </c>
      <c r="B15" s="17" t="s">
        <v>328</v>
      </c>
      <c r="C15" s="18" t="s">
        <v>56</v>
      </c>
      <c r="D15" s="18" t="s">
        <v>329</v>
      </c>
      <c r="E15" s="19" t="n">
        <f aca="false">COUNTA(G15:P15)</f>
        <v>0</v>
      </c>
      <c r="F15" s="20" t="s">
        <v>330</v>
      </c>
      <c r="G15" s="21"/>
      <c r="H15" s="21"/>
      <c r="I15" s="21"/>
      <c r="J15" s="21"/>
      <c r="K15" s="21"/>
      <c r="L15" s="21"/>
      <c r="M15" s="21"/>
      <c r="N15" s="21"/>
      <c r="O15" s="21"/>
      <c r="P15" s="21"/>
    </row>
    <row r="16" customFormat="false" ht="19.5" hidden="false" customHeight="true" outlineLevel="0" collapsed="false">
      <c r="A16" s="16" t="n">
        <v>11</v>
      </c>
      <c r="B16" s="17" t="s">
        <v>331</v>
      </c>
      <c r="C16" s="18" t="s">
        <v>56</v>
      </c>
      <c r="D16" s="18" t="s">
        <v>332</v>
      </c>
      <c r="E16" s="19" t="n">
        <f aca="false">COUNTA(G16:P16)</f>
        <v>0</v>
      </c>
      <c r="F16" s="20" t="s">
        <v>333</v>
      </c>
      <c r="G16" s="21"/>
      <c r="H16" s="21"/>
      <c r="I16" s="21"/>
      <c r="J16" s="21"/>
      <c r="K16" s="21"/>
      <c r="L16" s="21"/>
      <c r="M16" s="21"/>
      <c r="N16" s="21"/>
      <c r="O16" s="21"/>
      <c r="P16" s="21"/>
    </row>
    <row r="17" customFormat="false" ht="31.5" hidden="false" customHeight="true" outlineLevel="0" collapsed="false">
      <c r="A17" s="16" t="n">
        <v>12</v>
      </c>
      <c r="B17" s="17" t="s">
        <v>334</v>
      </c>
      <c r="C17" s="18" t="s">
        <v>56</v>
      </c>
      <c r="D17" s="18" t="s">
        <v>335</v>
      </c>
      <c r="E17" s="19" t="n">
        <f aca="false">COUNTA(G17:P17)</f>
        <v>0</v>
      </c>
      <c r="F17" s="20" t="s">
        <v>336</v>
      </c>
      <c r="G17" s="21"/>
      <c r="H17" s="21"/>
      <c r="I17" s="21"/>
      <c r="J17" s="21"/>
      <c r="K17" s="21"/>
      <c r="L17" s="21"/>
      <c r="M17" s="21"/>
      <c r="N17" s="21"/>
      <c r="O17" s="21"/>
      <c r="P17" s="21"/>
    </row>
    <row r="18" customFormat="false" ht="31.5" hidden="false" customHeight="true" outlineLevel="0" collapsed="false">
      <c r="A18" s="16" t="n">
        <v>13</v>
      </c>
      <c r="B18" s="17" t="s">
        <v>337</v>
      </c>
      <c r="C18" s="18" t="s">
        <v>95</v>
      </c>
      <c r="D18" s="18" t="s">
        <v>338</v>
      </c>
      <c r="E18" s="19" t="n">
        <f aca="false">COUNTA(G18:P18)</f>
        <v>0</v>
      </c>
      <c r="F18" s="20" t="s">
        <v>339</v>
      </c>
      <c r="G18" s="21"/>
      <c r="H18" s="21"/>
      <c r="I18" s="21"/>
      <c r="J18" s="21"/>
      <c r="K18" s="21"/>
      <c r="L18" s="21"/>
      <c r="M18" s="21"/>
      <c r="N18" s="21"/>
      <c r="O18" s="21"/>
      <c r="P18" s="21"/>
    </row>
    <row r="19" customFormat="false" ht="45" hidden="false" customHeight="true" outlineLevel="0" collapsed="false">
      <c r="A19" s="16" t="n">
        <v>14</v>
      </c>
      <c r="B19" s="17" t="s">
        <v>340</v>
      </c>
      <c r="C19" s="18" t="s">
        <v>95</v>
      </c>
      <c r="D19" s="18" t="s">
        <v>341</v>
      </c>
      <c r="E19" s="19" t="n">
        <f aca="false">COUNTA(G19:P19)</f>
        <v>0</v>
      </c>
      <c r="F19" s="20" t="s">
        <v>342</v>
      </c>
      <c r="G19" s="21"/>
      <c r="H19" s="21"/>
      <c r="I19" s="21"/>
      <c r="J19" s="21"/>
      <c r="K19" s="21"/>
      <c r="L19" s="21"/>
      <c r="M19" s="21"/>
      <c r="N19" s="21"/>
      <c r="O19" s="21"/>
      <c r="P19" s="21"/>
    </row>
    <row r="20" customFormat="false" ht="31.5" hidden="false" customHeight="true" outlineLevel="0" collapsed="false">
      <c r="A20" s="16" t="n">
        <v>15</v>
      </c>
      <c r="B20" s="17" t="s">
        <v>343</v>
      </c>
      <c r="C20" s="18" t="s">
        <v>56</v>
      </c>
      <c r="D20" s="18" t="s">
        <v>344</v>
      </c>
      <c r="E20" s="19" t="n">
        <f aca="false">COUNTA(G20:P20)</f>
        <v>0</v>
      </c>
      <c r="F20" s="20" t="s">
        <v>345</v>
      </c>
      <c r="G20" s="21"/>
      <c r="H20" s="21"/>
      <c r="I20" s="21"/>
      <c r="J20" s="21"/>
      <c r="K20" s="21"/>
      <c r="L20" s="21"/>
      <c r="M20" s="21"/>
      <c r="N20" s="21"/>
      <c r="O20" s="21"/>
      <c r="P20" s="21"/>
    </row>
    <row r="21" customFormat="false" ht="19.5" hidden="false" customHeight="true" outlineLevel="0" collapsed="false">
      <c r="A21" s="16" t="n">
        <v>16</v>
      </c>
      <c r="B21" s="17" t="s">
        <v>346</v>
      </c>
      <c r="C21" s="18" t="s">
        <v>42</v>
      </c>
      <c r="D21" s="18" t="s">
        <v>347</v>
      </c>
      <c r="E21" s="19" t="n">
        <f aca="false">COUNTA(G21:P21)</f>
        <v>0</v>
      </c>
      <c r="F21" s="20" t="s">
        <v>348</v>
      </c>
      <c r="G21" s="21"/>
      <c r="H21" s="21"/>
      <c r="I21" s="21"/>
      <c r="J21" s="21"/>
      <c r="K21" s="21"/>
      <c r="L21" s="21"/>
      <c r="M21" s="21"/>
      <c r="N21" s="21"/>
      <c r="O21" s="21"/>
      <c r="P21" s="21"/>
    </row>
    <row r="22" customFormat="false" ht="19.5" hidden="false" customHeight="true" outlineLevel="0" collapsed="false">
      <c r="A22" s="16" t="n">
        <v>17</v>
      </c>
      <c r="B22" s="17" t="s">
        <v>349</v>
      </c>
      <c r="C22" s="18" t="s">
        <v>42</v>
      </c>
      <c r="D22" s="18" t="s">
        <v>155</v>
      </c>
      <c r="E22" s="19" t="n">
        <f aca="false">COUNTA(G22:P22)</f>
        <v>0</v>
      </c>
      <c r="F22" s="20" t="s">
        <v>350</v>
      </c>
      <c r="G22" s="21"/>
      <c r="H22" s="21"/>
      <c r="I22" s="21"/>
      <c r="J22" s="21"/>
      <c r="K22" s="21"/>
      <c r="L22" s="21"/>
      <c r="M22" s="21"/>
      <c r="N22" s="21"/>
      <c r="O22" s="21"/>
      <c r="P22" s="21"/>
    </row>
    <row r="23" customFormat="false" ht="24" hidden="false" customHeight="true" outlineLevel="0" collapsed="false">
      <c r="A23" s="12"/>
      <c r="B23" s="13" t="s">
        <v>351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customFormat="false" ht="19.5" hidden="false" customHeight="true" outlineLevel="0" collapsed="false">
      <c r="A24" s="16"/>
      <c r="B24" s="17" t="s">
        <v>158</v>
      </c>
      <c r="C24" s="18" t="s">
        <v>50</v>
      </c>
      <c r="D24" s="18" t="s">
        <v>159</v>
      </c>
      <c r="E24" s="19" t="n">
        <f aca="false">COUNTA(G24:P24)</f>
        <v>0</v>
      </c>
      <c r="F24" s="20"/>
      <c r="G24" s="23"/>
      <c r="H24" s="23"/>
      <c r="I24" s="23"/>
      <c r="J24" s="23"/>
      <c r="K24" s="23"/>
      <c r="L24" s="23"/>
      <c r="M24" s="23"/>
      <c r="N24" s="23"/>
      <c r="O24" s="23"/>
      <c r="P24" s="23"/>
    </row>
    <row r="25" customFormat="false" ht="19.5" hidden="false" customHeight="true" outlineLevel="0" collapsed="false">
      <c r="A25" s="16"/>
      <c r="B25" s="17" t="s">
        <v>160</v>
      </c>
      <c r="C25" s="18" t="s">
        <v>42</v>
      </c>
      <c r="D25" s="18" t="s">
        <v>161</v>
      </c>
      <c r="E25" s="19" t="n">
        <f aca="false">COUNTA(G25:P25)</f>
        <v>0</v>
      </c>
      <c r="F25" s="20"/>
      <c r="G25" s="21"/>
      <c r="H25" s="21"/>
      <c r="I25" s="21"/>
      <c r="J25" s="21"/>
      <c r="K25" s="21"/>
      <c r="L25" s="21"/>
      <c r="M25" s="21"/>
      <c r="N25" s="21"/>
      <c r="O25" s="21"/>
      <c r="P25" s="21"/>
    </row>
    <row r="26" customFormat="false" ht="57.75" hidden="false" customHeight="true" outlineLevel="0" collapsed="false">
      <c r="A26" s="16" t="n">
        <v>1</v>
      </c>
      <c r="B26" s="17" t="s">
        <v>352</v>
      </c>
      <c r="C26" s="18" t="s">
        <v>164</v>
      </c>
      <c r="D26" s="18" t="s">
        <v>353</v>
      </c>
      <c r="E26" s="19" t="n">
        <f aca="false">COUNTA(G26:P26)</f>
        <v>0</v>
      </c>
      <c r="F26" s="20" t="s">
        <v>354</v>
      </c>
      <c r="G26" s="21"/>
      <c r="H26" s="21"/>
      <c r="I26" s="21"/>
      <c r="J26" s="21"/>
      <c r="K26" s="21"/>
      <c r="L26" s="21"/>
      <c r="M26" s="21"/>
      <c r="N26" s="21"/>
      <c r="O26" s="21"/>
      <c r="P26" s="21"/>
    </row>
    <row r="27" customFormat="false" ht="57.75" hidden="false" customHeight="true" outlineLevel="0" collapsed="false">
      <c r="A27" s="16" t="n">
        <v>2</v>
      </c>
      <c r="B27" s="17" t="s">
        <v>355</v>
      </c>
      <c r="C27" s="18" t="s">
        <v>164</v>
      </c>
      <c r="D27" s="18" t="s">
        <v>356</v>
      </c>
      <c r="E27" s="19" t="n">
        <f aca="false">COUNTA(G27:P27)</f>
        <v>0</v>
      </c>
      <c r="F27" s="20"/>
      <c r="G27" s="21"/>
      <c r="H27" s="21"/>
      <c r="I27" s="21"/>
      <c r="J27" s="21"/>
      <c r="K27" s="21"/>
      <c r="L27" s="21"/>
      <c r="M27" s="21"/>
      <c r="N27" s="21"/>
      <c r="O27" s="21"/>
      <c r="P27" s="21"/>
    </row>
    <row r="28" customFormat="false" ht="57.75" hidden="false" customHeight="true" outlineLevel="0" collapsed="false">
      <c r="A28" s="16" t="n">
        <v>3</v>
      </c>
      <c r="B28" s="17" t="s">
        <v>357</v>
      </c>
      <c r="C28" s="18" t="s">
        <v>164</v>
      </c>
      <c r="D28" s="18" t="s">
        <v>358</v>
      </c>
      <c r="E28" s="19" t="n">
        <f aca="false">COUNTA(G28:P28)</f>
        <v>0</v>
      </c>
      <c r="F28" s="20" t="s">
        <v>359</v>
      </c>
      <c r="G28" s="21"/>
      <c r="H28" s="21"/>
      <c r="I28" s="21"/>
      <c r="J28" s="21"/>
      <c r="K28" s="21"/>
      <c r="L28" s="21"/>
      <c r="M28" s="21"/>
      <c r="N28" s="21"/>
      <c r="O28" s="21"/>
      <c r="P28" s="21"/>
    </row>
    <row r="29" customFormat="false" ht="57.75" hidden="false" customHeight="true" outlineLevel="0" collapsed="false">
      <c r="A29" s="16" t="n">
        <v>4</v>
      </c>
      <c r="B29" s="17" t="s">
        <v>360</v>
      </c>
      <c r="C29" s="18" t="s">
        <v>164</v>
      </c>
      <c r="D29" s="18" t="s">
        <v>361</v>
      </c>
      <c r="E29" s="19" t="n">
        <f aca="false">COUNTA(G29:P29)</f>
        <v>0</v>
      </c>
      <c r="F29" s="20" t="s">
        <v>362</v>
      </c>
      <c r="G29" s="21"/>
      <c r="H29" s="21"/>
      <c r="I29" s="21"/>
      <c r="J29" s="21"/>
      <c r="K29" s="21"/>
      <c r="L29" s="21"/>
      <c r="M29" s="21"/>
      <c r="N29" s="21"/>
      <c r="O29" s="21"/>
      <c r="P29" s="21"/>
    </row>
    <row r="30" customFormat="false" ht="57.75" hidden="false" customHeight="true" outlineLevel="0" collapsed="false">
      <c r="A30" s="16" t="n">
        <v>5</v>
      </c>
      <c r="B30" s="17" t="s">
        <v>363</v>
      </c>
      <c r="C30" s="18" t="s">
        <v>164</v>
      </c>
      <c r="D30" s="18" t="s">
        <v>364</v>
      </c>
      <c r="E30" s="19" t="n">
        <f aca="false">COUNTA(G30:P30)</f>
        <v>0</v>
      </c>
      <c r="F30" s="20"/>
      <c r="G30" s="21"/>
      <c r="H30" s="21"/>
      <c r="I30" s="21"/>
      <c r="J30" s="21"/>
      <c r="K30" s="21"/>
      <c r="L30" s="21"/>
      <c r="M30" s="21"/>
      <c r="N30" s="21"/>
      <c r="O30" s="21"/>
      <c r="P30" s="21"/>
    </row>
    <row r="31" customFormat="false" ht="57.75" hidden="false" customHeight="true" outlineLevel="0" collapsed="false">
      <c r="A31" s="16" t="n">
        <v>6</v>
      </c>
      <c r="B31" s="17" t="s">
        <v>365</v>
      </c>
      <c r="C31" s="18" t="s">
        <v>164</v>
      </c>
      <c r="D31" s="18" t="s">
        <v>366</v>
      </c>
      <c r="E31" s="19" t="n">
        <f aca="false">COUNTA(G31:P31)</f>
        <v>0</v>
      </c>
      <c r="F31" s="20" t="s">
        <v>367</v>
      </c>
      <c r="G31" s="21"/>
      <c r="H31" s="21"/>
      <c r="I31" s="21"/>
      <c r="J31" s="21"/>
      <c r="K31" s="21"/>
      <c r="L31" s="21"/>
      <c r="M31" s="21"/>
      <c r="N31" s="21"/>
      <c r="O31" s="21"/>
      <c r="P31" s="21"/>
    </row>
    <row r="32" customFormat="false" ht="57.75" hidden="false" customHeight="true" outlineLevel="0" collapsed="false">
      <c r="A32" s="16" t="n">
        <v>7</v>
      </c>
      <c r="B32" s="17" t="s">
        <v>368</v>
      </c>
      <c r="C32" s="18" t="s">
        <v>164</v>
      </c>
      <c r="D32" s="18" t="s">
        <v>369</v>
      </c>
      <c r="E32" s="19" t="n">
        <f aca="false">COUNTA(G32:P32)</f>
        <v>0</v>
      </c>
      <c r="F32" s="20"/>
      <c r="G32" s="21"/>
      <c r="H32" s="21"/>
      <c r="I32" s="21"/>
      <c r="J32" s="21"/>
      <c r="K32" s="21"/>
      <c r="L32" s="21"/>
      <c r="M32" s="21"/>
      <c r="N32" s="21"/>
      <c r="O32" s="21"/>
      <c r="P32" s="21"/>
    </row>
    <row r="33" customFormat="false" ht="57.75" hidden="false" customHeight="true" outlineLevel="0" collapsed="false">
      <c r="A33" s="16" t="n">
        <v>8</v>
      </c>
      <c r="B33" s="17" t="s">
        <v>370</v>
      </c>
      <c r="C33" s="18" t="s">
        <v>164</v>
      </c>
      <c r="D33" s="18" t="s">
        <v>371</v>
      </c>
      <c r="E33" s="19" t="n">
        <f aca="false">COUNTA(G33:P33)</f>
        <v>0</v>
      </c>
      <c r="F33" s="20"/>
      <c r="G33" s="21"/>
      <c r="H33" s="21"/>
      <c r="I33" s="21"/>
      <c r="J33" s="21"/>
      <c r="K33" s="21"/>
      <c r="L33" s="21"/>
      <c r="M33" s="21"/>
      <c r="N33" s="21"/>
      <c r="O33" s="21"/>
      <c r="P33" s="21"/>
    </row>
    <row r="34" customFormat="false" ht="57.75" hidden="false" customHeight="true" outlineLevel="0" collapsed="false">
      <c r="A34" s="16" t="n">
        <v>9</v>
      </c>
      <c r="B34" s="17" t="s">
        <v>372</v>
      </c>
      <c r="C34" s="18" t="s">
        <v>164</v>
      </c>
      <c r="D34" s="18" t="s">
        <v>373</v>
      </c>
      <c r="E34" s="19" t="n">
        <f aca="false">COUNTA(G34:P34)</f>
        <v>0</v>
      </c>
      <c r="F34" s="20" t="s">
        <v>374</v>
      </c>
      <c r="G34" s="21"/>
      <c r="H34" s="21"/>
      <c r="I34" s="21"/>
      <c r="J34" s="21"/>
      <c r="K34" s="21"/>
      <c r="L34" s="21"/>
      <c r="M34" s="21"/>
      <c r="N34" s="21"/>
      <c r="O34" s="21"/>
      <c r="P34" s="21"/>
    </row>
    <row r="35" customFormat="false" ht="57.75" hidden="false" customHeight="true" outlineLevel="0" collapsed="false">
      <c r="A35" s="16" t="n">
        <v>10</v>
      </c>
      <c r="B35" s="17" t="s">
        <v>375</v>
      </c>
      <c r="C35" s="18" t="s">
        <v>164</v>
      </c>
      <c r="D35" s="18" t="s">
        <v>376</v>
      </c>
      <c r="E35" s="19" t="n">
        <f aca="false">COUNTA(G35:P35)</f>
        <v>0</v>
      </c>
      <c r="F35" s="20" t="s">
        <v>377</v>
      </c>
      <c r="G35" s="21"/>
      <c r="H35" s="21"/>
      <c r="I35" s="21"/>
      <c r="J35" s="21"/>
      <c r="K35" s="21"/>
      <c r="L35" s="21"/>
      <c r="M35" s="21"/>
      <c r="N35" s="21"/>
      <c r="O35" s="21"/>
      <c r="P35" s="21"/>
    </row>
    <row r="36" customFormat="false" ht="57.75" hidden="false" customHeight="true" outlineLevel="0" collapsed="false">
      <c r="A36" s="16" t="n">
        <v>11</v>
      </c>
      <c r="B36" s="17" t="s">
        <v>378</v>
      </c>
      <c r="C36" s="18" t="s">
        <v>164</v>
      </c>
      <c r="D36" s="18" t="s">
        <v>379</v>
      </c>
      <c r="E36" s="19" t="n">
        <f aca="false">COUNTA(G36:P36)</f>
        <v>0</v>
      </c>
      <c r="F36" s="20" t="s">
        <v>380</v>
      </c>
      <c r="G36" s="21"/>
      <c r="H36" s="21"/>
      <c r="I36" s="21"/>
      <c r="J36" s="21"/>
      <c r="K36" s="21"/>
      <c r="L36" s="21"/>
      <c r="M36" s="21"/>
      <c r="N36" s="21"/>
      <c r="O36" s="21"/>
      <c r="P36" s="21"/>
    </row>
    <row r="37" customFormat="false" ht="57.75" hidden="false" customHeight="true" outlineLevel="0" collapsed="false">
      <c r="A37" s="16" t="n">
        <v>12</v>
      </c>
      <c r="B37" s="17" t="s">
        <v>381</v>
      </c>
      <c r="C37" s="18" t="s">
        <v>164</v>
      </c>
      <c r="D37" s="18" t="s">
        <v>382</v>
      </c>
      <c r="E37" s="19" t="n">
        <f aca="false">COUNTA(G37:P37)</f>
        <v>0</v>
      </c>
      <c r="F37" s="20"/>
      <c r="G37" s="21"/>
      <c r="H37" s="21"/>
      <c r="I37" s="21"/>
      <c r="J37" s="21"/>
      <c r="K37" s="21"/>
      <c r="L37" s="21"/>
      <c r="M37" s="21"/>
      <c r="N37" s="21"/>
      <c r="O37" s="21"/>
      <c r="P37" s="21"/>
    </row>
    <row r="38" customFormat="false" ht="57.75" hidden="false" customHeight="true" outlineLevel="0" collapsed="false">
      <c r="A38" s="16" t="n">
        <v>13</v>
      </c>
      <c r="B38" s="17" t="s">
        <v>383</v>
      </c>
      <c r="C38" s="18" t="s">
        <v>164</v>
      </c>
      <c r="D38" s="18" t="s">
        <v>384</v>
      </c>
      <c r="E38" s="19" t="n">
        <f aca="false">COUNTA(G38:P38)</f>
        <v>0</v>
      </c>
      <c r="F38" s="20"/>
      <c r="G38" s="21"/>
      <c r="H38" s="21"/>
      <c r="I38" s="21"/>
      <c r="J38" s="21"/>
      <c r="K38" s="21"/>
      <c r="L38" s="21"/>
      <c r="M38" s="21"/>
      <c r="N38" s="21"/>
      <c r="O38" s="21"/>
      <c r="P38" s="21"/>
    </row>
    <row r="39" customFormat="false" ht="57.75" hidden="false" customHeight="true" outlineLevel="0" collapsed="false">
      <c r="A39" s="16" t="s">
        <v>284</v>
      </c>
      <c r="B39" s="17" t="s">
        <v>285</v>
      </c>
      <c r="C39" s="18" t="s">
        <v>164</v>
      </c>
      <c r="D39" s="18" t="s">
        <v>286</v>
      </c>
      <c r="E39" s="19" t="n">
        <f aca="false">COUNTA(G39:P39)</f>
        <v>0</v>
      </c>
      <c r="F39" s="20"/>
      <c r="G39" s="21"/>
      <c r="H39" s="21"/>
      <c r="I39" s="21"/>
      <c r="J39" s="21"/>
      <c r="K39" s="21"/>
      <c r="L39" s="21"/>
      <c r="M39" s="21"/>
      <c r="N39" s="21"/>
      <c r="O39" s="21"/>
      <c r="P39" s="21"/>
    </row>
    <row r="40" customFormat="false" ht="24" hidden="false" customHeight="true" outlineLevel="0" collapsed="false">
      <c r="A40" s="12"/>
      <c r="B40" s="13" t="s">
        <v>287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customFormat="false" ht="19.5" hidden="false" customHeight="true" outlineLevel="0" collapsed="false">
      <c r="A41" s="16"/>
      <c r="B41" s="17" t="s">
        <v>385</v>
      </c>
      <c r="C41" s="18" t="s">
        <v>56</v>
      </c>
      <c r="D41" s="18" t="s">
        <v>386</v>
      </c>
      <c r="E41" s="19" t="n">
        <f aca="false">COUNTA(G41:P41)</f>
        <v>0</v>
      </c>
      <c r="F41" s="20" t="s">
        <v>387</v>
      </c>
      <c r="G41" s="21"/>
      <c r="H41" s="21"/>
      <c r="I41" s="21"/>
      <c r="J41" s="21"/>
      <c r="K41" s="21"/>
      <c r="L41" s="21"/>
      <c r="M41" s="21"/>
      <c r="N41" s="21"/>
      <c r="O41" s="21"/>
      <c r="P41" s="21"/>
    </row>
    <row r="42" customFormat="false" ht="45" hidden="false" customHeight="true" outlineLevel="0" collapsed="false">
      <c r="A42" s="16"/>
      <c r="B42" s="17" t="s">
        <v>388</v>
      </c>
      <c r="C42" s="18" t="s">
        <v>95</v>
      </c>
      <c r="D42" s="18" t="s">
        <v>389</v>
      </c>
      <c r="E42" s="19" t="n">
        <f aca="false">COUNTA(G42:P42)</f>
        <v>0</v>
      </c>
      <c r="F42" s="20" t="s">
        <v>390</v>
      </c>
      <c r="G42" s="21"/>
      <c r="H42" s="21"/>
      <c r="I42" s="21"/>
      <c r="J42" s="21"/>
      <c r="K42" s="21"/>
      <c r="L42" s="21"/>
      <c r="M42" s="21"/>
      <c r="N42" s="21"/>
      <c r="O42" s="21"/>
      <c r="P42" s="21"/>
    </row>
    <row r="43" customFormat="false" ht="31.5" hidden="false" customHeight="true" outlineLevel="0" collapsed="false">
      <c r="A43" s="16"/>
      <c r="B43" s="17" t="s">
        <v>391</v>
      </c>
      <c r="C43" s="18" t="s">
        <v>42</v>
      </c>
      <c r="D43" s="18" t="s">
        <v>392</v>
      </c>
      <c r="E43" s="19" t="n">
        <f aca="false">COUNTA(G43:P43)</f>
        <v>0</v>
      </c>
      <c r="F43" s="20" t="s">
        <v>393</v>
      </c>
      <c r="G43" s="21"/>
      <c r="H43" s="21"/>
      <c r="I43" s="21"/>
      <c r="J43" s="21"/>
      <c r="K43" s="21"/>
      <c r="L43" s="21"/>
      <c r="M43" s="21"/>
      <c r="N43" s="21"/>
      <c r="O43" s="21"/>
      <c r="P43" s="21"/>
    </row>
    <row r="44" customFormat="false" ht="19.5" hidden="false" customHeight="true" outlineLevel="0" collapsed="false">
      <c r="A44" s="16"/>
      <c r="B44" s="17" t="s">
        <v>394</v>
      </c>
      <c r="C44" s="18" t="s">
        <v>50</v>
      </c>
      <c r="D44" s="18" t="s">
        <v>395</v>
      </c>
      <c r="E44" s="19" t="n">
        <f aca="false">COUNTA(G44:P44)</f>
        <v>0</v>
      </c>
      <c r="F44" s="20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customFormat="false" ht="57.75" hidden="false" customHeight="true" outlineLevel="0" collapsed="false">
      <c r="A45" s="16"/>
      <c r="B45" s="17" t="s">
        <v>396</v>
      </c>
      <c r="C45" s="18" t="s">
        <v>292</v>
      </c>
      <c r="D45" s="18" t="s">
        <v>397</v>
      </c>
      <c r="E45" s="19" t="n">
        <f aca="false">COUNTA(G45:P45)</f>
        <v>0</v>
      </c>
      <c r="F45" s="20" t="s">
        <v>398</v>
      </c>
      <c r="G45" s="21"/>
      <c r="H45" s="21"/>
      <c r="I45" s="21"/>
      <c r="J45" s="21"/>
      <c r="K45" s="21"/>
      <c r="L45" s="21"/>
      <c r="M45" s="21"/>
      <c r="N45" s="21"/>
      <c r="O45" s="21"/>
      <c r="P45" s="21"/>
    </row>
  </sheetData>
  <mergeCells count="3">
    <mergeCell ref="A1:B1"/>
    <mergeCell ref="A2:B2"/>
    <mergeCell ref="A3:B3"/>
  </mergeCells>
  <dataValidations count="8">
    <dataValidation allowBlank="true" errorStyle="stop" operator="between" showDropDown="false" showErrorMessage="false" showInputMessage="false" sqref="G10:P10" type="list">
      <formula1>Списки!$V$1:$V$5</formula1>
      <formula2>0</formula2>
    </dataValidation>
    <dataValidation allowBlank="true" errorStyle="stop" operator="between" showDropDown="false" showErrorMessage="false" showInputMessage="false" sqref="G11:P11" type="list">
      <formula1>Списки!$W$1:$W$3</formula1>
      <formula2>0</formula2>
    </dataValidation>
    <dataValidation allowBlank="true" errorStyle="stop" operator="between" showDropDown="false" showErrorMessage="false" showInputMessage="false" sqref="G13:P13" type="list">
      <formula1>Списки!$X$1:$X$4</formula1>
      <formula2>0</formula2>
    </dataValidation>
    <dataValidation allowBlank="true" errorStyle="stop" operator="between" showDropDown="false" showErrorMessage="false" showInputMessage="false" sqref="G15:P15" type="list">
      <formula1>Списки!$Y$1:$Y$4</formula1>
      <formula2>0</formula2>
    </dataValidation>
    <dataValidation allowBlank="true" errorStyle="stop" operator="between" showDropDown="false" showErrorMessage="false" showInputMessage="false" sqref="G16:P16" type="list">
      <formula1>Списки!$Z$1:$Z$3</formula1>
      <formula2>0</formula2>
    </dataValidation>
    <dataValidation allowBlank="true" errorStyle="stop" operator="between" showDropDown="false" showErrorMessage="false" showInputMessage="false" sqref="G17:P17" type="list">
      <formula1>Списки!$AA$1:$AA$5</formula1>
      <formula2>0</formula2>
    </dataValidation>
    <dataValidation allowBlank="true" errorStyle="stop" operator="between" showDropDown="false" showErrorMessage="false" showInputMessage="false" sqref="G20:P20" type="list">
      <formula1>Списки!$AB$1:$AB$5</formula1>
      <formula2>0</formula2>
    </dataValidation>
    <dataValidation allowBlank="true" errorStyle="stop" operator="between" showDropDown="false" showErrorMessage="false" showInputMessage="false" sqref="G41:P41" type="list">
      <formula1>Списки!$AC$1:$AC$3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734F"/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17"/>
    <col collapsed="false" customWidth="true" hidden="false" outlineLevel="0" max="4" min="4" style="0" width="42"/>
    <col collapsed="false" customWidth="true" hidden="false" outlineLevel="0" max="5" min="5" style="0" width="10"/>
    <col collapsed="false" customWidth="true" hidden="false" outlineLevel="0" max="16" min="6" style="0" width="30"/>
  </cols>
  <sheetData>
    <row r="1" customFormat="false" ht="25.5" hidden="false" customHeight="true" outlineLevel="0" collapsed="false">
      <c r="A1" s="10" t="s">
        <v>399</v>
      </c>
      <c r="B1" s="10"/>
    </row>
    <row r="2" customFormat="false" ht="43.5" hidden="false" customHeight="true" outlineLevel="0" collapsed="false">
      <c r="A2" s="11" t="s">
        <v>400</v>
      </c>
      <c r="B2" s="11"/>
    </row>
    <row r="3" customFormat="false" ht="31.5" hidden="false" customHeight="true" outlineLevel="0" collapsed="false">
      <c r="A3" s="11" t="s">
        <v>34</v>
      </c>
      <c r="B3" s="11"/>
    </row>
    <row r="4" customFormat="false" ht="30" hidden="false" customHeight="true" outlineLevel="0" collapsed="false">
      <c r="A4" s="5" t="s">
        <v>35</v>
      </c>
      <c r="B4" s="5" t="s">
        <v>36</v>
      </c>
      <c r="C4" s="5" t="s">
        <v>37</v>
      </c>
      <c r="D4" s="5" t="s">
        <v>38</v>
      </c>
      <c r="E4" s="5" t="s">
        <v>13</v>
      </c>
      <c r="F4" s="5" t="s">
        <v>11</v>
      </c>
      <c r="G4" s="5" t="str">
        <f aca="false">IF(G$6="","Человек 1",G$6)</f>
        <v>Человек 1</v>
      </c>
      <c r="H4" s="5" t="str">
        <f aca="false">IF(H$6="","Человек 2",H$6)</f>
        <v>Человек 2</v>
      </c>
      <c r="I4" s="5" t="str">
        <f aca="false">IF(I$6="","Человек 3",I$6)</f>
        <v>Человек 3</v>
      </c>
      <c r="J4" s="5" t="str">
        <f aca="false">IF(J$6="","Человек 4",J$6)</f>
        <v>Человек 4</v>
      </c>
      <c r="K4" s="5" t="str">
        <f aca="false">IF(K$6="","Человек 5",K$6)</f>
        <v>Человек 5</v>
      </c>
      <c r="L4" s="5" t="str">
        <f aca="false">IF(L$6="","Человек 6",L$6)</f>
        <v>Человек 6</v>
      </c>
      <c r="M4" s="5" t="str">
        <f aca="false">IF(M$6="","Человек 7",M$6)</f>
        <v>Человек 7</v>
      </c>
      <c r="N4" s="5" t="str">
        <f aca="false">IF(N$6="","Человек 8",N$6)</f>
        <v>Человек 8</v>
      </c>
      <c r="O4" s="5" t="str">
        <f aca="false">IF(O$6="","Человек 9",O$6)</f>
        <v>Человек 9</v>
      </c>
      <c r="P4" s="5" t="str">
        <f aca="false">IF(P$6="","Человек 10",P$6)</f>
        <v>Человек 10</v>
      </c>
    </row>
    <row r="5" customFormat="false" ht="24" hidden="false" customHeight="true" outlineLevel="0" collapsed="false">
      <c r="A5" s="12"/>
      <c r="B5" s="13" t="s">
        <v>39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customFormat="false" ht="19.5" hidden="false" customHeight="true" outlineLevel="0" collapsed="false">
      <c r="A6" s="16" t="n">
        <v>1</v>
      </c>
      <c r="B6" s="17" t="s">
        <v>401</v>
      </c>
      <c r="C6" s="18" t="s">
        <v>42</v>
      </c>
      <c r="D6" s="18" t="s">
        <v>402</v>
      </c>
      <c r="E6" s="19" t="n">
        <f aca="false">COUNTA(G6:P6)</f>
        <v>0</v>
      </c>
      <c r="F6" s="20" t="s">
        <v>403</v>
      </c>
      <c r="G6" s="21"/>
      <c r="H6" s="21"/>
      <c r="I6" s="21"/>
      <c r="J6" s="21"/>
      <c r="K6" s="21"/>
      <c r="L6" s="21"/>
      <c r="M6" s="21"/>
      <c r="N6" s="21"/>
      <c r="O6" s="21"/>
      <c r="P6" s="21"/>
    </row>
    <row r="7" customFormat="false" ht="96.75" hidden="false" customHeight="true" outlineLevel="0" collapsed="false">
      <c r="A7" s="16" t="n">
        <v>2</v>
      </c>
      <c r="B7" s="17" t="s">
        <v>404</v>
      </c>
      <c r="C7" s="18" t="s">
        <v>56</v>
      </c>
      <c r="D7" s="18" t="s">
        <v>31</v>
      </c>
      <c r="E7" s="19" t="n">
        <f aca="false">COUNTA(G7:P7)</f>
        <v>0</v>
      </c>
      <c r="F7" s="20" t="s">
        <v>405</v>
      </c>
      <c r="G7" s="21"/>
      <c r="H7" s="21"/>
      <c r="I7" s="21"/>
      <c r="J7" s="21"/>
      <c r="K7" s="21"/>
      <c r="L7" s="21"/>
      <c r="M7" s="21"/>
      <c r="N7" s="21"/>
      <c r="O7" s="21"/>
      <c r="P7" s="21"/>
    </row>
    <row r="8" customFormat="false" ht="19.5" hidden="false" customHeight="true" outlineLevel="0" collapsed="false">
      <c r="A8" s="16" t="n">
        <v>3</v>
      </c>
      <c r="B8" s="17" t="s">
        <v>406</v>
      </c>
      <c r="C8" s="18" t="s">
        <v>42</v>
      </c>
      <c r="D8" s="18" t="s">
        <v>53</v>
      </c>
      <c r="E8" s="19" t="n">
        <f aca="false">COUNTA(G8:P8)</f>
        <v>0</v>
      </c>
      <c r="F8" s="20" t="s">
        <v>54</v>
      </c>
      <c r="G8" s="21"/>
      <c r="H8" s="21"/>
      <c r="I8" s="21"/>
      <c r="J8" s="21"/>
      <c r="K8" s="21"/>
      <c r="L8" s="21"/>
      <c r="M8" s="21"/>
      <c r="N8" s="21"/>
      <c r="O8" s="21"/>
      <c r="P8" s="21"/>
    </row>
    <row r="9" customFormat="false" ht="19.5" hidden="false" customHeight="true" outlineLevel="0" collapsed="false">
      <c r="A9" s="16" t="n">
        <v>4</v>
      </c>
      <c r="B9" s="17" t="s">
        <v>407</v>
      </c>
      <c r="C9" s="18" t="s">
        <v>42</v>
      </c>
      <c r="D9" s="18" t="s">
        <v>408</v>
      </c>
      <c r="E9" s="19" t="n">
        <f aca="false">COUNTA(G9:P9)</f>
        <v>0</v>
      </c>
      <c r="F9" s="20" t="s">
        <v>409</v>
      </c>
      <c r="G9" s="21"/>
      <c r="H9" s="21"/>
      <c r="I9" s="21"/>
      <c r="J9" s="21"/>
      <c r="K9" s="21"/>
      <c r="L9" s="21"/>
      <c r="M9" s="21"/>
      <c r="N9" s="21"/>
      <c r="O9" s="21"/>
      <c r="P9" s="21"/>
    </row>
    <row r="10" customFormat="false" ht="19.5" hidden="false" customHeight="true" outlineLevel="0" collapsed="false">
      <c r="A10" s="16" t="n">
        <v>5</v>
      </c>
      <c r="B10" s="17" t="s">
        <v>410</v>
      </c>
      <c r="C10" s="18" t="s">
        <v>42</v>
      </c>
      <c r="D10" s="18" t="s">
        <v>411</v>
      </c>
      <c r="E10" s="19" t="n">
        <f aca="false">COUNTA(G10:P10)</f>
        <v>0</v>
      </c>
      <c r="F10" s="20" t="s">
        <v>412</v>
      </c>
      <c r="G10" s="21"/>
      <c r="H10" s="21"/>
      <c r="I10" s="21"/>
      <c r="J10" s="21"/>
      <c r="K10" s="21"/>
      <c r="L10" s="21"/>
      <c r="M10" s="21"/>
      <c r="N10" s="21"/>
      <c r="O10" s="21"/>
      <c r="P10" s="21"/>
    </row>
    <row r="11" customFormat="false" ht="19.5" hidden="false" customHeight="true" outlineLevel="0" collapsed="false">
      <c r="A11" s="16" t="n">
        <v>6</v>
      </c>
      <c r="B11" s="17" t="s">
        <v>413</v>
      </c>
      <c r="C11" s="18" t="s">
        <v>56</v>
      </c>
      <c r="D11" s="18" t="s">
        <v>414</v>
      </c>
      <c r="E11" s="19" t="n">
        <f aca="false">COUNTA(G11:P11)</f>
        <v>0</v>
      </c>
      <c r="F11" s="20" t="s">
        <v>415</v>
      </c>
      <c r="G11" s="21"/>
      <c r="H11" s="21"/>
      <c r="I11" s="21"/>
      <c r="J11" s="21"/>
      <c r="K11" s="21"/>
      <c r="L11" s="21"/>
      <c r="M11" s="21"/>
      <c r="N11" s="21"/>
      <c r="O11" s="21"/>
      <c r="P11" s="21"/>
    </row>
    <row r="12" customFormat="false" ht="19.5" hidden="false" customHeight="true" outlineLevel="0" collapsed="false">
      <c r="A12" s="16" t="n">
        <v>7</v>
      </c>
      <c r="B12" s="17" t="s">
        <v>416</v>
      </c>
      <c r="C12" s="18" t="s">
        <v>95</v>
      </c>
      <c r="D12" s="18" t="s">
        <v>417</v>
      </c>
      <c r="E12" s="19" t="n">
        <f aca="false">COUNTA(G12:P12)</f>
        <v>0</v>
      </c>
      <c r="F12" s="20" t="s">
        <v>418</v>
      </c>
      <c r="G12" s="21"/>
      <c r="H12" s="21"/>
      <c r="I12" s="21"/>
      <c r="J12" s="21"/>
      <c r="K12" s="21"/>
      <c r="L12" s="21"/>
      <c r="M12" s="21"/>
      <c r="N12" s="21"/>
      <c r="O12" s="21"/>
      <c r="P12" s="21"/>
    </row>
    <row r="13" customFormat="false" ht="70.5" hidden="false" customHeight="true" outlineLevel="0" collapsed="false">
      <c r="A13" s="16" t="n">
        <v>8</v>
      </c>
      <c r="B13" s="17" t="s">
        <v>419</v>
      </c>
      <c r="C13" s="18" t="s">
        <v>95</v>
      </c>
      <c r="D13" s="18" t="s">
        <v>420</v>
      </c>
      <c r="E13" s="19" t="n">
        <f aca="false">COUNTA(G13:P13)</f>
        <v>0</v>
      </c>
      <c r="F13" s="20" t="s">
        <v>421</v>
      </c>
      <c r="G13" s="21"/>
      <c r="H13" s="21"/>
      <c r="I13" s="21"/>
      <c r="J13" s="21"/>
      <c r="K13" s="21"/>
      <c r="L13" s="21"/>
      <c r="M13" s="21"/>
      <c r="N13" s="21"/>
      <c r="O13" s="21"/>
      <c r="P13" s="21"/>
    </row>
    <row r="14" customFormat="false" ht="31.5" hidden="false" customHeight="true" outlineLevel="0" collapsed="false">
      <c r="A14" s="16" t="n">
        <v>9</v>
      </c>
      <c r="B14" s="17" t="s">
        <v>422</v>
      </c>
      <c r="C14" s="18" t="s">
        <v>95</v>
      </c>
      <c r="D14" s="18" t="s">
        <v>423</v>
      </c>
      <c r="E14" s="19" t="n">
        <f aca="false">COUNTA(G14:P14)</f>
        <v>0</v>
      </c>
      <c r="F14" s="20" t="s">
        <v>424</v>
      </c>
      <c r="G14" s="21"/>
      <c r="H14" s="21"/>
      <c r="I14" s="21"/>
      <c r="J14" s="21"/>
      <c r="K14" s="21"/>
      <c r="L14" s="21"/>
      <c r="M14" s="21"/>
      <c r="N14" s="21"/>
      <c r="O14" s="21"/>
      <c r="P14" s="21"/>
    </row>
    <row r="15" customFormat="false" ht="31.5" hidden="false" customHeight="true" outlineLevel="0" collapsed="false">
      <c r="A15" s="16" t="n">
        <v>10</v>
      </c>
      <c r="B15" s="17" t="s">
        <v>425</v>
      </c>
      <c r="C15" s="18" t="s">
        <v>95</v>
      </c>
      <c r="D15" s="18" t="s">
        <v>426</v>
      </c>
      <c r="E15" s="19" t="n">
        <f aca="false">COUNTA(G15:P15)</f>
        <v>0</v>
      </c>
      <c r="F15" s="20" t="s">
        <v>427</v>
      </c>
      <c r="G15" s="21"/>
      <c r="H15" s="21"/>
      <c r="I15" s="21"/>
      <c r="J15" s="21"/>
      <c r="K15" s="21"/>
      <c r="L15" s="21"/>
      <c r="M15" s="21"/>
      <c r="N15" s="21"/>
      <c r="O15" s="21"/>
      <c r="P15" s="21"/>
    </row>
    <row r="16" customFormat="false" ht="31.5" hidden="false" customHeight="true" outlineLevel="0" collapsed="false">
      <c r="A16" s="16" t="n">
        <v>11</v>
      </c>
      <c r="B16" s="17" t="s">
        <v>428</v>
      </c>
      <c r="C16" s="18" t="s">
        <v>56</v>
      </c>
      <c r="D16" s="18" t="s">
        <v>429</v>
      </c>
      <c r="E16" s="19" t="n">
        <f aca="false">COUNTA(G16:P16)</f>
        <v>0</v>
      </c>
      <c r="F16" s="20" t="s">
        <v>430</v>
      </c>
      <c r="G16" s="21"/>
      <c r="H16" s="21"/>
      <c r="I16" s="21"/>
      <c r="J16" s="21"/>
      <c r="K16" s="21"/>
      <c r="L16" s="21"/>
      <c r="M16" s="21"/>
      <c r="N16" s="21"/>
      <c r="O16" s="21"/>
      <c r="P16" s="21"/>
    </row>
    <row r="17" customFormat="false" ht="31.5" hidden="false" customHeight="true" outlineLevel="0" collapsed="false">
      <c r="A17" s="16" t="n">
        <v>12</v>
      </c>
      <c r="B17" s="17" t="s">
        <v>431</v>
      </c>
      <c r="C17" s="18" t="s">
        <v>56</v>
      </c>
      <c r="D17" s="18" t="s">
        <v>432</v>
      </c>
      <c r="E17" s="19" t="n">
        <f aca="false">COUNTA(G17:P17)</f>
        <v>0</v>
      </c>
      <c r="F17" s="20" t="s">
        <v>433</v>
      </c>
      <c r="G17" s="21"/>
      <c r="H17" s="21"/>
      <c r="I17" s="21"/>
      <c r="J17" s="21"/>
      <c r="K17" s="21"/>
      <c r="L17" s="21"/>
      <c r="M17" s="21"/>
      <c r="N17" s="21"/>
      <c r="O17" s="21"/>
      <c r="P17" s="21"/>
    </row>
    <row r="18" customFormat="false" ht="19.5" hidden="false" customHeight="true" outlineLevel="0" collapsed="false">
      <c r="A18" s="16" t="n">
        <v>13</v>
      </c>
      <c r="B18" s="17" t="s">
        <v>434</v>
      </c>
      <c r="C18" s="18" t="s">
        <v>42</v>
      </c>
      <c r="D18" s="18" t="s">
        <v>155</v>
      </c>
      <c r="E18" s="19" t="n">
        <f aca="false">COUNTA(G18:P18)</f>
        <v>0</v>
      </c>
      <c r="F18" s="20" t="s">
        <v>435</v>
      </c>
      <c r="G18" s="21"/>
      <c r="H18" s="21"/>
      <c r="I18" s="21"/>
      <c r="J18" s="21"/>
      <c r="K18" s="21"/>
      <c r="L18" s="21"/>
      <c r="M18" s="21"/>
      <c r="N18" s="21"/>
      <c r="O18" s="21"/>
      <c r="P18" s="21"/>
    </row>
    <row r="19" customFormat="false" ht="24" hidden="false" customHeight="true" outlineLevel="0" collapsed="false">
      <c r="A19" s="12"/>
      <c r="B19" s="13" t="s">
        <v>436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customFormat="false" ht="19.5" hidden="false" customHeight="true" outlineLevel="0" collapsed="false">
      <c r="A20" s="16"/>
      <c r="B20" s="17" t="s">
        <v>158</v>
      </c>
      <c r="C20" s="18" t="s">
        <v>50</v>
      </c>
      <c r="D20" s="18" t="s">
        <v>159</v>
      </c>
      <c r="E20" s="19" t="n">
        <f aca="false">COUNTA(G20:P20)</f>
        <v>0</v>
      </c>
      <c r="F20" s="20"/>
      <c r="G20" s="23"/>
      <c r="H20" s="23"/>
      <c r="I20" s="23"/>
      <c r="J20" s="23"/>
      <c r="K20" s="23"/>
      <c r="L20" s="23"/>
      <c r="M20" s="23"/>
      <c r="N20" s="23"/>
      <c r="O20" s="23"/>
      <c r="P20" s="23"/>
    </row>
    <row r="21" customFormat="false" ht="19.5" hidden="false" customHeight="true" outlineLevel="0" collapsed="false">
      <c r="A21" s="16"/>
      <c r="B21" s="17" t="s">
        <v>160</v>
      </c>
      <c r="C21" s="18" t="s">
        <v>42</v>
      </c>
      <c r="D21" s="18" t="s">
        <v>161</v>
      </c>
      <c r="E21" s="19" t="n">
        <f aca="false">COUNTA(G21:P21)</f>
        <v>0</v>
      </c>
      <c r="F21" s="20"/>
      <c r="G21" s="21"/>
      <c r="H21" s="21"/>
      <c r="I21" s="21"/>
      <c r="J21" s="21"/>
      <c r="K21" s="21"/>
      <c r="L21" s="21"/>
      <c r="M21" s="21"/>
      <c r="N21" s="21"/>
      <c r="O21" s="21"/>
      <c r="P21" s="21"/>
    </row>
    <row r="22" customFormat="false" ht="57.75" hidden="false" customHeight="true" outlineLevel="0" collapsed="false">
      <c r="A22" s="16" t="n">
        <v>1</v>
      </c>
      <c r="B22" s="17" t="s">
        <v>437</v>
      </c>
      <c r="C22" s="18" t="s">
        <v>164</v>
      </c>
      <c r="D22" s="18" t="s">
        <v>438</v>
      </c>
      <c r="E22" s="19" t="n">
        <f aca="false">COUNTA(G22:P22)</f>
        <v>0</v>
      </c>
      <c r="F22" s="20"/>
      <c r="G22" s="21"/>
      <c r="H22" s="21"/>
      <c r="I22" s="21"/>
      <c r="J22" s="21"/>
      <c r="K22" s="21"/>
      <c r="L22" s="21"/>
      <c r="M22" s="21"/>
      <c r="N22" s="21"/>
      <c r="O22" s="21"/>
      <c r="P22" s="21"/>
    </row>
    <row r="23" customFormat="false" ht="57.75" hidden="false" customHeight="true" outlineLevel="0" collapsed="false">
      <c r="A23" s="16" t="n">
        <v>2</v>
      </c>
      <c r="B23" s="17" t="s">
        <v>439</v>
      </c>
      <c r="C23" s="18" t="s">
        <v>164</v>
      </c>
      <c r="D23" s="18" t="s">
        <v>440</v>
      </c>
      <c r="E23" s="19" t="n">
        <f aca="false">COUNTA(G23:P23)</f>
        <v>0</v>
      </c>
      <c r="F23" s="20"/>
      <c r="G23" s="21"/>
      <c r="H23" s="21"/>
      <c r="I23" s="21"/>
      <c r="J23" s="21"/>
      <c r="K23" s="21"/>
      <c r="L23" s="21"/>
      <c r="M23" s="21"/>
      <c r="N23" s="21"/>
      <c r="O23" s="21"/>
      <c r="P23" s="21"/>
    </row>
    <row r="24" customFormat="false" ht="57.75" hidden="false" customHeight="true" outlineLevel="0" collapsed="false">
      <c r="A24" s="16" t="n">
        <v>3</v>
      </c>
      <c r="B24" s="17" t="s">
        <v>441</v>
      </c>
      <c r="C24" s="18" t="s">
        <v>164</v>
      </c>
      <c r="D24" s="18" t="s">
        <v>442</v>
      </c>
      <c r="E24" s="19" t="n">
        <f aca="false">COUNTA(G24:P24)</f>
        <v>0</v>
      </c>
      <c r="F24" s="20"/>
      <c r="G24" s="21"/>
      <c r="H24" s="21"/>
      <c r="I24" s="21"/>
      <c r="J24" s="21"/>
      <c r="K24" s="21"/>
      <c r="L24" s="21"/>
      <c r="M24" s="21"/>
      <c r="N24" s="21"/>
      <c r="O24" s="21"/>
      <c r="P24" s="21"/>
    </row>
    <row r="25" customFormat="false" ht="57.75" hidden="false" customHeight="true" outlineLevel="0" collapsed="false">
      <c r="A25" s="16" t="n">
        <v>4</v>
      </c>
      <c r="B25" s="17" t="s">
        <v>443</v>
      </c>
      <c r="C25" s="18" t="s">
        <v>164</v>
      </c>
      <c r="D25" s="18" t="s">
        <v>444</v>
      </c>
      <c r="E25" s="19" t="n">
        <f aca="false">COUNTA(G25:P25)</f>
        <v>0</v>
      </c>
      <c r="F25" s="20"/>
      <c r="G25" s="21"/>
      <c r="H25" s="21"/>
      <c r="I25" s="21"/>
      <c r="J25" s="21"/>
      <c r="K25" s="21"/>
      <c r="L25" s="21"/>
      <c r="M25" s="21"/>
      <c r="N25" s="21"/>
      <c r="O25" s="21"/>
      <c r="P25" s="21"/>
    </row>
    <row r="26" customFormat="false" ht="57.75" hidden="false" customHeight="true" outlineLevel="0" collapsed="false">
      <c r="A26" s="16" t="n">
        <v>5</v>
      </c>
      <c r="B26" s="17" t="s">
        <v>445</v>
      </c>
      <c r="C26" s="18" t="s">
        <v>164</v>
      </c>
      <c r="D26" s="18" t="s">
        <v>446</v>
      </c>
      <c r="E26" s="19" t="n">
        <f aca="false">COUNTA(G26:P26)</f>
        <v>0</v>
      </c>
      <c r="F26" s="20"/>
      <c r="G26" s="21"/>
      <c r="H26" s="21"/>
      <c r="I26" s="21"/>
      <c r="J26" s="21"/>
      <c r="K26" s="21"/>
      <c r="L26" s="21"/>
      <c r="M26" s="21"/>
      <c r="N26" s="21"/>
      <c r="O26" s="21"/>
      <c r="P26" s="21"/>
    </row>
    <row r="27" customFormat="false" ht="57.75" hidden="false" customHeight="true" outlineLevel="0" collapsed="false">
      <c r="A27" s="16" t="n">
        <v>6</v>
      </c>
      <c r="B27" s="17" t="s">
        <v>447</v>
      </c>
      <c r="C27" s="18" t="s">
        <v>164</v>
      </c>
      <c r="D27" s="18" t="s">
        <v>448</v>
      </c>
      <c r="E27" s="19" t="n">
        <f aca="false">COUNTA(G27:P27)</f>
        <v>0</v>
      </c>
      <c r="F27" s="20"/>
      <c r="G27" s="21"/>
      <c r="H27" s="21"/>
      <c r="I27" s="21"/>
      <c r="J27" s="21"/>
      <c r="K27" s="21"/>
      <c r="L27" s="21"/>
      <c r="M27" s="21"/>
      <c r="N27" s="21"/>
      <c r="O27" s="21"/>
      <c r="P27" s="21"/>
    </row>
    <row r="28" customFormat="false" ht="57.75" hidden="false" customHeight="true" outlineLevel="0" collapsed="false">
      <c r="A28" s="16" t="n">
        <v>7</v>
      </c>
      <c r="B28" s="17" t="s">
        <v>449</v>
      </c>
      <c r="C28" s="18" t="s">
        <v>164</v>
      </c>
      <c r="D28" s="18" t="s">
        <v>450</v>
      </c>
      <c r="E28" s="19" t="n">
        <f aca="false">COUNTA(G28:P28)</f>
        <v>0</v>
      </c>
      <c r="F28" s="20"/>
      <c r="G28" s="21"/>
      <c r="H28" s="21"/>
      <c r="I28" s="21"/>
      <c r="J28" s="21"/>
      <c r="K28" s="21"/>
      <c r="L28" s="21"/>
      <c r="M28" s="21"/>
      <c r="N28" s="21"/>
      <c r="O28" s="21"/>
      <c r="P28" s="21"/>
    </row>
    <row r="29" customFormat="false" ht="57.75" hidden="false" customHeight="true" outlineLevel="0" collapsed="false">
      <c r="A29" s="16" t="n">
        <v>8</v>
      </c>
      <c r="B29" s="17" t="s">
        <v>451</v>
      </c>
      <c r="C29" s="18" t="s">
        <v>164</v>
      </c>
      <c r="D29" s="18" t="s">
        <v>452</v>
      </c>
      <c r="E29" s="19" t="n">
        <f aca="false">COUNTA(G29:P29)</f>
        <v>0</v>
      </c>
      <c r="F29" s="20"/>
      <c r="G29" s="21"/>
      <c r="H29" s="21"/>
      <c r="I29" s="21"/>
      <c r="J29" s="21"/>
      <c r="K29" s="21"/>
      <c r="L29" s="21"/>
      <c r="M29" s="21"/>
      <c r="N29" s="21"/>
      <c r="O29" s="21"/>
      <c r="P29" s="21"/>
    </row>
    <row r="30" customFormat="false" ht="57.75" hidden="false" customHeight="true" outlineLevel="0" collapsed="false">
      <c r="A30" s="16" t="n">
        <v>9</v>
      </c>
      <c r="B30" s="17" t="s">
        <v>453</v>
      </c>
      <c r="C30" s="18" t="s">
        <v>164</v>
      </c>
      <c r="D30" s="18" t="s">
        <v>454</v>
      </c>
      <c r="E30" s="19" t="n">
        <f aca="false">COUNTA(G30:P30)</f>
        <v>0</v>
      </c>
      <c r="F30" s="20"/>
      <c r="G30" s="21"/>
      <c r="H30" s="21"/>
      <c r="I30" s="21"/>
      <c r="J30" s="21"/>
      <c r="K30" s="21"/>
      <c r="L30" s="21"/>
      <c r="M30" s="21"/>
      <c r="N30" s="21"/>
      <c r="O30" s="21"/>
      <c r="P30" s="21"/>
    </row>
    <row r="31" customFormat="false" ht="57.75" hidden="false" customHeight="true" outlineLevel="0" collapsed="false">
      <c r="A31" s="16" t="n">
        <v>10</v>
      </c>
      <c r="B31" s="17" t="s">
        <v>455</v>
      </c>
      <c r="C31" s="18" t="s">
        <v>164</v>
      </c>
      <c r="D31" s="18" t="s">
        <v>456</v>
      </c>
      <c r="E31" s="19" t="n">
        <f aca="false">COUNTA(G31:P31)</f>
        <v>0</v>
      </c>
      <c r="F31" s="20"/>
      <c r="G31" s="21"/>
      <c r="H31" s="21"/>
      <c r="I31" s="21"/>
      <c r="J31" s="21"/>
      <c r="K31" s="21"/>
      <c r="L31" s="21"/>
      <c r="M31" s="21"/>
      <c r="N31" s="21"/>
      <c r="O31" s="21"/>
      <c r="P31" s="21"/>
    </row>
    <row r="32" customFormat="false" ht="57.75" hidden="false" customHeight="true" outlineLevel="0" collapsed="false">
      <c r="A32" s="16" t="s">
        <v>284</v>
      </c>
      <c r="B32" s="17" t="s">
        <v>285</v>
      </c>
      <c r="C32" s="18" t="s">
        <v>164</v>
      </c>
      <c r="D32" s="18" t="s">
        <v>286</v>
      </c>
      <c r="E32" s="19" t="n">
        <f aca="false">COUNTA(G32:P32)</f>
        <v>0</v>
      </c>
      <c r="F32" s="20"/>
      <c r="G32" s="21"/>
      <c r="H32" s="21"/>
      <c r="I32" s="21"/>
      <c r="J32" s="21"/>
      <c r="K32" s="21"/>
      <c r="L32" s="21"/>
      <c r="M32" s="21"/>
      <c r="N32" s="21"/>
      <c r="O32" s="21"/>
      <c r="P32" s="21"/>
    </row>
    <row r="33" customFormat="false" ht="24" hidden="false" customHeight="true" outlineLevel="0" collapsed="false">
      <c r="A33" s="12"/>
      <c r="B33" s="13" t="s">
        <v>287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customFormat="false" ht="19.5" hidden="false" customHeight="true" outlineLevel="0" collapsed="false">
      <c r="A34" s="16"/>
      <c r="B34" s="17" t="s">
        <v>385</v>
      </c>
      <c r="C34" s="18" t="s">
        <v>56</v>
      </c>
      <c r="D34" s="18" t="s">
        <v>386</v>
      </c>
      <c r="E34" s="19" t="n">
        <f aca="false">COUNTA(G34:P34)</f>
        <v>0</v>
      </c>
      <c r="F34" s="20" t="s">
        <v>387</v>
      </c>
      <c r="G34" s="21"/>
      <c r="H34" s="21"/>
      <c r="I34" s="21"/>
      <c r="J34" s="21"/>
      <c r="K34" s="21"/>
      <c r="L34" s="21"/>
      <c r="M34" s="21"/>
      <c r="N34" s="21"/>
      <c r="O34" s="21"/>
      <c r="P34" s="21"/>
    </row>
    <row r="35" customFormat="false" ht="45" hidden="false" customHeight="true" outlineLevel="0" collapsed="false">
      <c r="A35" s="16"/>
      <c r="B35" s="17" t="s">
        <v>388</v>
      </c>
      <c r="C35" s="18" t="s">
        <v>95</v>
      </c>
      <c r="D35" s="18" t="s">
        <v>457</v>
      </c>
      <c r="E35" s="19" t="n">
        <f aca="false">COUNTA(G35:P35)</f>
        <v>0</v>
      </c>
      <c r="F35" s="20" t="s">
        <v>458</v>
      </c>
      <c r="G35" s="21"/>
      <c r="H35" s="21"/>
      <c r="I35" s="21"/>
      <c r="J35" s="21"/>
      <c r="K35" s="21"/>
      <c r="L35" s="21"/>
      <c r="M35" s="21"/>
      <c r="N35" s="21"/>
      <c r="O35" s="21"/>
      <c r="P35" s="21"/>
    </row>
    <row r="36" customFormat="false" ht="19.5" hidden="false" customHeight="true" outlineLevel="0" collapsed="false">
      <c r="A36" s="16"/>
      <c r="B36" s="17" t="s">
        <v>391</v>
      </c>
      <c r="C36" s="18" t="s">
        <v>42</v>
      </c>
      <c r="D36" s="18" t="s">
        <v>459</v>
      </c>
      <c r="E36" s="19" t="n">
        <f aca="false">COUNTA(G36:P36)</f>
        <v>0</v>
      </c>
      <c r="F36" s="20" t="s">
        <v>460</v>
      </c>
      <c r="G36" s="21"/>
      <c r="H36" s="21"/>
      <c r="I36" s="21"/>
      <c r="J36" s="21"/>
      <c r="K36" s="21"/>
      <c r="L36" s="21"/>
      <c r="M36" s="21"/>
      <c r="N36" s="21"/>
      <c r="O36" s="21"/>
      <c r="P36" s="21"/>
    </row>
    <row r="37" customFormat="false" ht="19.5" hidden="false" customHeight="true" outlineLevel="0" collapsed="false">
      <c r="A37" s="16"/>
      <c r="B37" s="17" t="s">
        <v>394</v>
      </c>
      <c r="C37" s="18" t="s">
        <v>50</v>
      </c>
      <c r="D37" s="18" t="s">
        <v>395</v>
      </c>
      <c r="E37" s="19" t="n">
        <f aca="false">COUNTA(G37:P37)</f>
        <v>0</v>
      </c>
      <c r="F37" s="20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customFormat="false" ht="57.75" hidden="false" customHeight="true" outlineLevel="0" collapsed="false">
      <c r="A38" s="16"/>
      <c r="B38" s="17" t="s">
        <v>396</v>
      </c>
      <c r="C38" s="18" t="s">
        <v>292</v>
      </c>
      <c r="D38" s="18" t="s">
        <v>397</v>
      </c>
      <c r="E38" s="19" t="n">
        <f aca="false">COUNTA(G38:P38)</f>
        <v>0</v>
      </c>
      <c r="F38" s="20" t="s">
        <v>461</v>
      </c>
      <c r="G38" s="21"/>
      <c r="H38" s="21"/>
      <c r="I38" s="21"/>
      <c r="J38" s="21"/>
      <c r="K38" s="21"/>
      <c r="L38" s="21"/>
      <c r="M38" s="21"/>
      <c r="N38" s="21"/>
      <c r="O38" s="21"/>
      <c r="P38" s="21"/>
    </row>
  </sheetData>
  <mergeCells count="3">
    <mergeCell ref="A1:B1"/>
    <mergeCell ref="A2:B2"/>
    <mergeCell ref="A3:B3"/>
  </mergeCells>
  <dataValidations count="5">
    <dataValidation allowBlank="true" errorStyle="stop" operator="between" showDropDown="false" showErrorMessage="false" showInputMessage="false" sqref="G7:P7" type="list">
      <formula1>Списки!$AD$1:$AD$16</formula1>
      <formula2>0</formula2>
    </dataValidation>
    <dataValidation allowBlank="true" errorStyle="stop" operator="between" showDropDown="false" showErrorMessage="false" showInputMessage="false" sqref="G11:P11" type="list">
      <formula1>Списки!$AE$1:$AE$4</formula1>
      <formula2>0</formula2>
    </dataValidation>
    <dataValidation allowBlank="true" errorStyle="stop" operator="between" showDropDown="false" showErrorMessage="false" showInputMessage="false" sqref="G16:P16" type="list">
      <formula1>Списки!$AF$1:$AF$4</formula1>
      <formula2>0</formula2>
    </dataValidation>
    <dataValidation allowBlank="true" errorStyle="stop" operator="between" showDropDown="false" showErrorMessage="false" showInputMessage="false" sqref="G17:P17" type="list">
      <formula1>Списки!$AG$1:$AG$4</formula1>
      <formula2>0</formula2>
    </dataValidation>
    <dataValidation allowBlank="true" errorStyle="stop" operator="between" showDropDown="false" showErrorMessage="false" showInputMessage="false" sqref="G34:P34" type="list">
      <formula1>Списки!$AH$1:$AH$3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7C58B"/>
    <pageSetUpPr fitToPage="false"/>
  </sheetPr>
  <dimension ref="A1:P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17"/>
    <col collapsed="false" customWidth="true" hidden="false" outlineLevel="0" max="4" min="4" style="0" width="42"/>
    <col collapsed="false" customWidth="true" hidden="false" outlineLevel="0" max="5" min="5" style="0" width="10"/>
    <col collapsed="false" customWidth="true" hidden="false" outlineLevel="0" max="16" min="6" style="0" width="30"/>
  </cols>
  <sheetData>
    <row r="1" customFormat="false" ht="25.5" hidden="false" customHeight="true" outlineLevel="0" collapsed="false">
      <c r="A1" s="10" t="s">
        <v>462</v>
      </c>
      <c r="B1" s="10"/>
    </row>
    <row r="2" customFormat="false" ht="43.5" hidden="false" customHeight="true" outlineLevel="0" collapsed="false">
      <c r="A2" s="11" t="s">
        <v>463</v>
      </c>
      <c r="B2" s="11"/>
    </row>
    <row r="3" customFormat="false" ht="31.5" hidden="false" customHeight="true" outlineLevel="0" collapsed="false">
      <c r="A3" s="11" t="s">
        <v>34</v>
      </c>
      <c r="B3" s="11"/>
    </row>
    <row r="4" customFormat="false" ht="30" hidden="false" customHeight="true" outlineLevel="0" collapsed="false">
      <c r="A4" s="5" t="s">
        <v>35</v>
      </c>
      <c r="B4" s="5" t="s">
        <v>36</v>
      </c>
      <c r="C4" s="5" t="s">
        <v>37</v>
      </c>
      <c r="D4" s="5" t="s">
        <v>38</v>
      </c>
      <c r="E4" s="5" t="s">
        <v>13</v>
      </c>
      <c r="F4" s="5" t="s">
        <v>11</v>
      </c>
      <c r="G4" s="5" t="str">
        <f aca="false">IF(G$6="","Человек 1",G$6)</f>
        <v>Человек 1</v>
      </c>
      <c r="H4" s="5" t="str">
        <f aca="false">IF(H$6="","Человек 2",H$6)</f>
        <v>Человек 2</v>
      </c>
      <c r="I4" s="5" t="str">
        <f aca="false">IF(I$6="","Человек 3",I$6)</f>
        <v>Человек 3</v>
      </c>
      <c r="J4" s="5" t="str">
        <f aca="false">IF(J$6="","Человек 4",J$6)</f>
        <v>Человек 4</v>
      </c>
      <c r="K4" s="5" t="str">
        <f aca="false">IF(K$6="","Человек 5",K$6)</f>
        <v>Человек 5</v>
      </c>
      <c r="L4" s="5" t="str">
        <f aca="false">IF(L$6="","Человек 6",L$6)</f>
        <v>Человек 6</v>
      </c>
      <c r="M4" s="5" t="str">
        <f aca="false">IF(M$6="","Человек 7",M$6)</f>
        <v>Человек 7</v>
      </c>
      <c r="N4" s="5" t="str">
        <f aca="false">IF(N$6="","Человек 8",N$6)</f>
        <v>Человек 8</v>
      </c>
      <c r="O4" s="5" t="str">
        <f aca="false">IF(O$6="","Человек 9",O$6)</f>
        <v>Человек 9</v>
      </c>
      <c r="P4" s="5" t="str">
        <f aca="false">IF(P$6="","Человек 10",P$6)</f>
        <v>Человек 10</v>
      </c>
    </row>
    <row r="5" customFormat="false" ht="24" hidden="false" customHeight="true" outlineLevel="0" collapsed="false">
      <c r="A5" s="12"/>
      <c r="B5" s="13" t="s">
        <v>39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customFormat="false" ht="19.5" hidden="false" customHeight="true" outlineLevel="0" collapsed="false">
      <c r="A6" s="16" t="n">
        <v>1</v>
      </c>
      <c r="B6" s="17" t="s">
        <v>464</v>
      </c>
      <c r="C6" s="18" t="s">
        <v>42</v>
      </c>
      <c r="D6" s="18" t="s">
        <v>43</v>
      </c>
      <c r="E6" s="19" t="n">
        <f aca="false">COUNTA(G6:P6)</f>
        <v>0</v>
      </c>
      <c r="F6" s="20" t="s">
        <v>465</v>
      </c>
      <c r="G6" s="21"/>
      <c r="H6" s="21"/>
      <c r="I6" s="21"/>
      <c r="J6" s="21"/>
      <c r="K6" s="21"/>
      <c r="L6" s="21"/>
      <c r="M6" s="21"/>
      <c r="N6" s="21"/>
      <c r="O6" s="21"/>
      <c r="P6" s="21"/>
    </row>
    <row r="7" customFormat="false" ht="19.5" hidden="false" customHeight="true" outlineLevel="0" collapsed="false">
      <c r="A7" s="16" t="n">
        <v>2</v>
      </c>
      <c r="B7" s="17" t="s">
        <v>466</v>
      </c>
      <c r="C7" s="18" t="s">
        <v>42</v>
      </c>
      <c r="D7" s="18" t="s">
        <v>467</v>
      </c>
      <c r="E7" s="19" t="n">
        <f aca="false">COUNTA(G7:P7)</f>
        <v>0</v>
      </c>
      <c r="F7" s="20" t="s">
        <v>468</v>
      </c>
      <c r="G7" s="21"/>
      <c r="H7" s="21"/>
      <c r="I7" s="21"/>
      <c r="J7" s="21"/>
      <c r="K7" s="21"/>
      <c r="L7" s="21"/>
      <c r="M7" s="21"/>
      <c r="N7" s="21"/>
      <c r="O7" s="21"/>
      <c r="P7" s="21"/>
    </row>
    <row r="8" customFormat="false" ht="19.5" hidden="false" customHeight="true" outlineLevel="0" collapsed="false">
      <c r="A8" s="16" t="n">
        <v>3</v>
      </c>
      <c r="B8" s="17" t="s">
        <v>469</v>
      </c>
      <c r="C8" s="18" t="s">
        <v>56</v>
      </c>
      <c r="D8" s="18" t="s">
        <v>470</v>
      </c>
      <c r="E8" s="19" t="n">
        <f aca="false">COUNTA(G8:P8)</f>
        <v>0</v>
      </c>
      <c r="F8" s="20" t="s">
        <v>471</v>
      </c>
      <c r="G8" s="21"/>
      <c r="H8" s="21"/>
      <c r="I8" s="21"/>
      <c r="J8" s="21"/>
      <c r="K8" s="21"/>
      <c r="L8" s="21"/>
      <c r="M8" s="21"/>
      <c r="N8" s="21"/>
      <c r="O8" s="21"/>
      <c r="P8" s="21"/>
    </row>
    <row r="9" customFormat="false" ht="45" hidden="false" customHeight="true" outlineLevel="0" collapsed="false">
      <c r="A9" s="16" t="n">
        <v>4</v>
      </c>
      <c r="B9" s="17" t="s">
        <v>472</v>
      </c>
      <c r="C9" s="18" t="s">
        <v>95</v>
      </c>
      <c r="D9" s="18" t="s">
        <v>473</v>
      </c>
      <c r="E9" s="19" t="n">
        <f aca="false">COUNTA(G9:P9)</f>
        <v>0</v>
      </c>
      <c r="F9" s="20" t="s">
        <v>474</v>
      </c>
      <c r="G9" s="21"/>
      <c r="H9" s="21"/>
      <c r="I9" s="21"/>
      <c r="J9" s="21"/>
      <c r="K9" s="21"/>
      <c r="L9" s="21"/>
      <c r="M9" s="21"/>
      <c r="N9" s="21"/>
      <c r="O9" s="21"/>
      <c r="P9" s="21"/>
    </row>
    <row r="10" customFormat="false" ht="31.5" hidden="false" customHeight="true" outlineLevel="0" collapsed="false">
      <c r="A10" s="16" t="n">
        <v>5</v>
      </c>
      <c r="B10" s="17" t="s">
        <v>475</v>
      </c>
      <c r="C10" s="18" t="s">
        <v>56</v>
      </c>
      <c r="D10" s="18" t="s">
        <v>476</v>
      </c>
      <c r="E10" s="19" t="n">
        <f aca="false">COUNTA(G10:P10)</f>
        <v>0</v>
      </c>
      <c r="F10" s="20" t="s">
        <v>336</v>
      </c>
      <c r="G10" s="21"/>
      <c r="H10" s="21"/>
      <c r="I10" s="21"/>
      <c r="J10" s="21"/>
      <c r="K10" s="21"/>
      <c r="L10" s="21"/>
      <c r="M10" s="21"/>
      <c r="N10" s="21"/>
      <c r="O10" s="21"/>
      <c r="P10" s="21"/>
    </row>
    <row r="11" customFormat="false" ht="45" hidden="false" customHeight="true" outlineLevel="0" collapsed="false">
      <c r="A11" s="16" t="n">
        <v>6</v>
      </c>
      <c r="B11" s="17" t="s">
        <v>477</v>
      </c>
      <c r="C11" s="18" t="s">
        <v>141</v>
      </c>
      <c r="D11" s="18" t="s">
        <v>478</v>
      </c>
      <c r="E11" s="19" t="n">
        <f aca="false">COUNTA(G11:P11)</f>
        <v>0</v>
      </c>
      <c r="F11" s="20" t="s">
        <v>479</v>
      </c>
      <c r="G11" s="21"/>
      <c r="H11" s="21"/>
      <c r="I11" s="21"/>
      <c r="J11" s="21"/>
      <c r="K11" s="21"/>
      <c r="L11" s="21"/>
      <c r="M11" s="21"/>
      <c r="N11" s="21"/>
      <c r="O11" s="21"/>
      <c r="P11" s="21"/>
    </row>
    <row r="12" customFormat="false" ht="31.5" hidden="false" customHeight="true" outlineLevel="0" collapsed="false">
      <c r="A12" s="16" t="n">
        <v>7</v>
      </c>
      <c r="B12" s="17" t="s">
        <v>480</v>
      </c>
      <c r="C12" s="18" t="s">
        <v>56</v>
      </c>
      <c r="D12" s="18" t="s">
        <v>481</v>
      </c>
      <c r="E12" s="19" t="n">
        <f aca="false">COUNTA(G12:P12)</f>
        <v>0</v>
      </c>
      <c r="F12" s="20" t="s">
        <v>482</v>
      </c>
      <c r="G12" s="21"/>
      <c r="H12" s="21"/>
      <c r="I12" s="21"/>
      <c r="J12" s="21"/>
      <c r="K12" s="21"/>
      <c r="L12" s="21"/>
      <c r="M12" s="21"/>
      <c r="N12" s="21"/>
      <c r="O12" s="21"/>
      <c r="P12" s="21"/>
    </row>
    <row r="13" customFormat="false" ht="31.5" hidden="false" customHeight="true" outlineLevel="0" collapsed="false">
      <c r="A13" s="16" t="n">
        <v>8</v>
      </c>
      <c r="B13" s="17" t="s">
        <v>483</v>
      </c>
      <c r="C13" s="18" t="s">
        <v>95</v>
      </c>
      <c r="D13" s="18" t="s">
        <v>484</v>
      </c>
      <c r="E13" s="19" t="n">
        <f aca="false">COUNTA(G13:P13)</f>
        <v>0</v>
      </c>
      <c r="F13" s="20" t="s">
        <v>485</v>
      </c>
      <c r="G13" s="21"/>
      <c r="H13" s="21"/>
      <c r="I13" s="21"/>
      <c r="J13" s="21"/>
      <c r="K13" s="21"/>
      <c r="L13" s="21"/>
      <c r="M13" s="21"/>
      <c r="N13" s="21"/>
      <c r="O13" s="21"/>
      <c r="P13" s="21"/>
    </row>
    <row r="14" customFormat="false" ht="19.5" hidden="false" customHeight="true" outlineLevel="0" collapsed="false">
      <c r="A14" s="16" t="n">
        <v>9</v>
      </c>
      <c r="B14" s="17" t="s">
        <v>486</v>
      </c>
      <c r="C14" s="18" t="s">
        <v>56</v>
      </c>
      <c r="D14" s="18" t="s">
        <v>487</v>
      </c>
      <c r="E14" s="19" t="n">
        <f aca="false">COUNTA(G14:P14)</f>
        <v>0</v>
      </c>
      <c r="F14" s="20" t="s">
        <v>119</v>
      </c>
      <c r="G14" s="21"/>
      <c r="H14" s="21"/>
      <c r="I14" s="21"/>
      <c r="J14" s="21"/>
      <c r="K14" s="21"/>
      <c r="L14" s="21"/>
      <c r="M14" s="21"/>
      <c r="N14" s="21"/>
      <c r="O14" s="21"/>
      <c r="P14" s="21"/>
    </row>
    <row r="15" customFormat="false" ht="31.5" hidden="false" customHeight="true" outlineLevel="0" collapsed="false">
      <c r="A15" s="16" t="n">
        <v>10</v>
      </c>
      <c r="B15" s="17" t="s">
        <v>488</v>
      </c>
      <c r="C15" s="18" t="s">
        <v>81</v>
      </c>
      <c r="D15" s="18" t="s">
        <v>489</v>
      </c>
      <c r="E15" s="19" t="n">
        <f aca="false">COUNTA(G15:P15)</f>
        <v>0</v>
      </c>
      <c r="F15" s="20" t="s">
        <v>490</v>
      </c>
      <c r="G15" s="21"/>
      <c r="H15" s="21"/>
      <c r="I15" s="21"/>
      <c r="J15" s="21"/>
      <c r="K15" s="21"/>
      <c r="L15" s="21"/>
      <c r="M15" s="21"/>
      <c r="N15" s="21"/>
      <c r="O15" s="21"/>
      <c r="P15" s="21"/>
    </row>
    <row r="16" customFormat="false" ht="19.5" hidden="false" customHeight="true" outlineLevel="0" collapsed="false">
      <c r="A16" s="16" t="n">
        <v>11</v>
      </c>
      <c r="B16" s="17" t="s">
        <v>491</v>
      </c>
      <c r="C16" s="18" t="s">
        <v>56</v>
      </c>
      <c r="D16" s="18" t="s">
        <v>492</v>
      </c>
      <c r="E16" s="19" t="n">
        <f aca="false">COUNTA(G16:P16)</f>
        <v>0</v>
      </c>
      <c r="F16" s="20" t="s">
        <v>493</v>
      </c>
      <c r="G16" s="21"/>
      <c r="H16" s="21"/>
      <c r="I16" s="21"/>
      <c r="J16" s="21"/>
      <c r="K16" s="21"/>
      <c r="L16" s="21"/>
      <c r="M16" s="21"/>
      <c r="N16" s="21"/>
      <c r="O16" s="21"/>
      <c r="P16" s="21"/>
    </row>
    <row r="17" customFormat="false" ht="19.5" hidden="false" customHeight="true" outlineLevel="0" collapsed="false">
      <c r="A17" s="16" t="n">
        <v>12</v>
      </c>
      <c r="B17" s="17" t="s">
        <v>494</v>
      </c>
      <c r="C17" s="18" t="s">
        <v>56</v>
      </c>
      <c r="D17" s="18" t="s">
        <v>495</v>
      </c>
      <c r="E17" s="19" t="n">
        <f aca="false">COUNTA(G17:P17)</f>
        <v>0</v>
      </c>
      <c r="F17" s="20" t="s">
        <v>496</v>
      </c>
      <c r="G17" s="21"/>
      <c r="H17" s="21"/>
      <c r="I17" s="21"/>
      <c r="J17" s="21"/>
      <c r="K17" s="21"/>
      <c r="L17" s="21"/>
      <c r="M17" s="21"/>
      <c r="N17" s="21"/>
      <c r="O17" s="21"/>
      <c r="P17" s="21"/>
    </row>
    <row r="18" customFormat="false" ht="19.5" hidden="false" customHeight="true" outlineLevel="0" collapsed="false">
      <c r="A18" s="16" t="n">
        <v>13</v>
      </c>
      <c r="B18" s="17" t="s">
        <v>497</v>
      </c>
      <c r="C18" s="18" t="s">
        <v>56</v>
      </c>
      <c r="D18" s="18" t="s">
        <v>498</v>
      </c>
      <c r="E18" s="19" t="n">
        <f aca="false">COUNTA(G18:P18)</f>
        <v>0</v>
      </c>
      <c r="F18" s="20" t="s">
        <v>499</v>
      </c>
      <c r="G18" s="21"/>
      <c r="H18" s="21"/>
      <c r="I18" s="21"/>
      <c r="J18" s="21"/>
      <c r="K18" s="21"/>
      <c r="L18" s="21"/>
      <c r="M18" s="21"/>
      <c r="N18" s="21"/>
      <c r="O18" s="21"/>
      <c r="P18" s="21"/>
    </row>
    <row r="19" customFormat="false" ht="19.5" hidden="false" customHeight="true" outlineLevel="0" collapsed="false">
      <c r="A19" s="16" t="n">
        <v>14</v>
      </c>
      <c r="B19" s="17" t="s">
        <v>500</v>
      </c>
      <c r="C19" s="18" t="s">
        <v>42</v>
      </c>
      <c r="D19" s="18" t="s">
        <v>155</v>
      </c>
      <c r="E19" s="19" t="n">
        <f aca="false">COUNTA(G19:P19)</f>
        <v>0</v>
      </c>
      <c r="F19" s="20" t="s">
        <v>501</v>
      </c>
      <c r="G19" s="21"/>
      <c r="H19" s="21"/>
      <c r="I19" s="21"/>
      <c r="J19" s="21"/>
      <c r="K19" s="21"/>
      <c r="L19" s="21"/>
      <c r="M19" s="21"/>
      <c r="N19" s="21"/>
      <c r="O19" s="21"/>
      <c r="P19" s="21"/>
    </row>
    <row r="20" customFormat="false" ht="24" hidden="false" customHeight="true" outlineLevel="0" collapsed="false">
      <c r="A20" s="12"/>
      <c r="B20" s="13" t="s">
        <v>351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customFormat="false" ht="19.5" hidden="false" customHeight="true" outlineLevel="0" collapsed="false">
      <c r="A21" s="16"/>
      <c r="B21" s="17" t="s">
        <v>158</v>
      </c>
      <c r="C21" s="18" t="s">
        <v>50</v>
      </c>
      <c r="D21" s="18" t="s">
        <v>159</v>
      </c>
      <c r="E21" s="19" t="n">
        <f aca="false">COUNTA(G21:P21)</f>
        <v>0</v>
      </c>
      <c r="F21" s="20"/>
      <c r="G21" s="23"/>
      <c r="H21" s="23"/>
      <c r="I21" s="23"/>
      <c r="J21" s="23"/>
      <c r="K21" s="23"/>
      <c r="L21" s="23"/>
      <c r="M21" s="23"/>
      <c r="N21" s="23"/>
      <c r="O21" s="23"/>
      <c r="P21" s="23"/>
    </row>
    <row r="22" customFormat="false" ht="19.5" hidden="false" customHeight="true" outlineLevel="0" collapsed="false">
      <c r="A22" s="16"/>
      <c r="B22" s="17" t="s">
        <v>160</v>
      </c>
      <c r="C22" s="18" t="s">
        <v>42</v>
      </c>
      <c r="D22" s="18" t="s">
        <v>161</v>
      </c>
      <c r="E22" s="19" t="n">
        <f aca="false">COUNTA(G22:P22)</f>
        <v>0</v>
      </c>
      <c r="F22" s="20"/>
      <c r="G22" s="21"/>
      <c r="H22" s="21"/>
      <c r="I22" s="21"/>
      <c r="J22" s="21"/>
      <c r="K22" s="21"/>
      <c r="L22" s="21"/>
      <c r="M22" s="21"/>
      <c r="N22" s="21"/>
      <c r="O22" s="21"/>
      <c r="P22" s="21"/>
    </row>
    <row r="23" customFormat="false" ht="57.75" hidden="false" customHeight="true" outlineLevel="0" collapsed="false">
      <c r="A23" s="16" t="n">
        <v>1</v>
      </c>
      <c r="B23" s="17" t="s">
        <v>502</v>
      </c>
      <c r="C23" s="18" t="s">
        <v>164</v>
      </c>
      <c r="D23" s="18" t="s">
        <v>503</v>
      </c>
      <c r="E23" s="19" t="n">
        <f aca="false">COUNTA(G23:P23)</f>
        <v>0</v>
      </c>
      <c r="F23" s="20"/>
      <c r="G23" s="21"/>
      <c r="H23" s="21"/>
      <c r="I23" s="21"/>
      <c r="J23" s="21"/>
      <c r="K23" s="21"/>
      <c r="L23" s="21"/>
      <c r="M23" s="21"/>
      <c r="N23" s="21"/>
      <c r="O23" s="21"/>
      <c r="P23" s="21"/>
    </row>
    <row r="24" customFormat="false" ht="57.75" hidden="false" customHeight="true" outlineLevel="0" collapsed="false">
      <c r="A24" s="16" t="n">
        <v>2</v>
      </c>
      <c r="B24" s="17" t="s">
        <v>504</v>
      </c>
      <c r="C24" s="18" t="s">
        <v>164</v>
      </c>
      <c r="D24" s="18" t="s">
        <v>505</v>
      </c>
      <c r="E24" s="19" t="n">
        <f aca="false">COUNTA(G24:P24)</f>
        <v>0</v>
      </c>
      <c r="F24" s="20"/>
      <c r="G24" s="21"/>
      <c r="H24" s="21"/>
      <c r="I24" s="21"/>
      <c r="J24" s="21"/>
      <c r="K24" s="21"/>
      <c r="L24" s="21"/>
      <c r="M24" s="21"/>
      <c r="N24" s="21"/>
      <c r="O24" s="21"/>
      <c r="P24" s="21"/>
    </row>
    <row r="25" customFormat="false" ht="57.75" hidden="false" customHeight="true" outlineLevel="0" collapsed="false">
      <c r="A25" s="16" t="n">
        <v>3</v>
      </c>
      <c r="B25" s="17" t="s">
        <v>506</v>
      </c>
      <c r="C25" s="18" t="s">
        <v>164</v>
      </c>
      <c r="D25" s="18" t="s">
        <v>507</v>
      </c>
      <c r="E25" s="19" t="n">
        <f aca="false">COUNTA(G25:P25)</f>
        <v>0</v>
      </c>
      <c r="F25" s="20"/>
      <c r="G25" s="21"/>
      <c r="H25" s="21"/>
      <c r="I25" s="21"/>
      <c r="J25" s="21"/>
      <c r="K25" s="21"/>
      <c r="L25" s="21"/>
      <c r="M25" s="21"/>
      <c r="N25" s="21"/>
      <c r="O25" s="21"/>
      <c r="P25" s="21"/>
    </row>
    <row r="26" customFormat="false" ht="57.75" hidden="false" customHeight="true" outlineLevel="0" collapsed="false">
      <c r="A26" s="16" t="n">
        <v>4</v>
      </c>
      <c r="B26" s="17" t="s">
        <v>508</v>
      </c>
      <c r="C26" s="18" t="s">
        <v>164</v>
      </c>
      <c r="D26" s="18" t="s">
        <v>509</v>
      </c>
      <c r="E26" s="19" t="n">
        <f aca="false">COUNTA(G26:P26)</f>
        <v>0</v>
      </c>
      <c r="F26" s="20"/>
      <c r="G26" s="21"/>
      <c r="H26" s="21"/>
      <c r="I26" s="21"/>
      <c r="J26" s="21"/>
      <c r="K26" s="21"/>
      <c r="L26" s="21"/>
      <c r="M26" s="21"/>
      <c r="N26" s="21"/>
      <c r="O26" s="21"/>
      <c r="P26" s="21"/>
    </row>
    <row r="27" customFormat="false" ht="57.75" hidden="false" customHeight="true" outlineLevel="0" collapsed="false">
      <c r="A27" s="16" t="n">
        <v>5</v>
      </c>
      <c r="B27" s="17" t="s">
        <v>510</v>
      </c>
      <c r="C27" s="18" t="s">
        <v>164</v>
      </c>
      <c r="D27" s="18" t="s">
        <v>511</v>
      </c>
      <c r="E27" s="19" t="n">
        <f aca="false">COUNTA(G27:P27)</f>
        <v>0</v>
      </c>
      <c r="F27" s="20"/>
      <c r="G27" s="21"/>
      <c r="H27" s="21"/>
      <c r="I27" s="21"/>
      <c r="J27" s="21"/>
      <c r="K27" s="21"/>
      <c r="L27" s="21"/>
      <c r="M27" s="21"/>
      <c r="N27" s="21"/>
      <c r="O27" s="21"/>
      <c r="P27" s="21"/>
    </row>
    <row r="28" customFormat="false" ht="57.75" hidden="false" customHeight="true" outlineLevel="0" collapsed="false">
      <c r="A28" s="16" t="n">
        <v>6</v>
      </c>
      <c r="B28" s="17" t="s">
        <v>512</v>
      </c>
      <c r="C28" s="18" t="s">
        <v>164</v>
      </c>
      <c r="D28" s="18" t="s">
        <v>513</v>
      </c>
      <c r="E28" s="19" t="n">
        <f aca="false">COUNTA(G28:P28)</f>
        <v>0</v>
      </c>
      <c r="F28" s="20"/>
      <c r="G28" s="21"/>
      <c r="H28" s="21"/>
      <c r="I28" s="21"/>
      <c r="J28" s="21"/>
      <c r="K28" s="21"/>
      <c r="L28" s="21"/>
      <c r="M28" s="21"/>
      <c r="N28" s="21"/>
      <c r="O28" s="21"/>
      <c r="P28" s="21"/>
    </row>
    <row r="29" customFormat="false" ht="57.75" hidden="false" customHeight="true" outlineLevel="0" collapsed="false">
      <c r="A29" s="16" t="n">
        <v>7</v>
      </c>
      <c r="B29" s="17" t="s">
        <v>514</v>
      </c>
      <c r="C29" s="18" t="s">
        <v>164</v>
      </c>
      <c r="D29" s="18" t="s">
        <v>515</v>
      </c>
      <c r="E29" s="19" t="n">
        <f aca="false">COUNTA(G29:P29)</f>
        <v>0</v>
      </c>
      <c r="F29" s="20"/>
      <c r="G29" s="21"/>
      <c r="H29" s="21"/>
      <c r="I29" s="21"/>
      <c r="J29" s="21"/>
      <c r="K29" s="21"/>
      <c r="L29" s="21"/>
      <c r="M29" s="21"/>
      <c r="N29" s="21"/>
      <c r="O29" s="21"/>
      <c r="P29" s="21"/>
    </row>
    <row r="30" customFormat="false" ht="57.75" hidden="false" customHeight="true" outlineLevel="0" collapsed="false">
      <c r="A30" s="16" t="n">
        <v>8</v>
      </c>
      <c r="B30" s="17" t="s">
        <v>516</v>
      </c>
      <c r="C30" s="18" t="s">
        <v>164</v>
      </c>
      <c r="D30" s="18" t="s">
        <v>517</v>
      </c>
      <c r="E30" s="19" t="n">
        <f aca="false">COUNTA(G30:P30)</f>
        <v>0</v>
      </c>
      <c r="F30" s="20"/>
      <c r="G30" s="21"/>
      <c r="H30" s="21"/>
      <c r="I30" s="21"/>
      <c r="J30" s="21"/>
      <c r="K30" s="21"/>
      <c r="L30" s="21"/>
      <c r="M30" s="21"/>
      <c r="N30" s="21"/>
      <c r="O30" s="21"/>
      <c r="P30" s="21"/>
    </row>
    <row r="31" customFormat="false" ht="57.75" hidden="false" customHeight="true" outlineLevel="0" collapsed="false">
      <c r="A31" s="16" t="n">
        <v>9</v>
      </c>
      <c r="B31" s="17" t="s">
        <v>518</v>
      </c>
      <c r="C31" s="18" t="s">
        <v>164</v>
      </c>
      <c r="D31" s="18" t="s">
        <v>454</v>
      </c>
      <c r="E31" s="19" t="n">
        <f aca="false">COUNTA(G31:P31)</f>
        <v>0</v>
      </c>
      <c r="F31" s="20"/>
      <c r="G31" s="21"/>
      <c r="H31" s="21"/>
      <c r="I31" s="21"/>
      <c r="J31" s="21"/>
      <c r="K31" s="21"/>
      <c r="L31" s="21"/>
      <c r="M31" s="21"/>
      <c r="N31" s="21"/>
      <c r="O31" s="21"/>
      <c r="P31" s="21"/>
    </row>
    <row r="32" customFormat="false" ht="57.75" hidden="false" customHeight="true" outlineLevel="0" collapsed="false">
      <c r="A32" s="16" t="n">
        <v>10</v>
      </c>
      <c r="B32" s="17" t="s">
        <v>519</v>
      </c>
      <c r="C32" s="18" t="s">
        <v>164</v>
      </c>
      <c r="D32" s="18" t="s">
        <v>520</v>
      </c>
      <c r="E32" s="19" t="n">
        <f aca="false">COUNTA(G32:P32)</f>
        <v>0</v>
      </c>
      <c r="F32" s="20"/>
      <c r="G32" s="21"/>
      <c r="H32" s="21"/>
      <c r="I32" s="21"/>
      <c r="J32" s="21"/>
      <c r="K32" s="21"/>
      <c r="L32" s="21"/>
      <c r="M32" s="21"/>
      <c r="N32" s="21"/>
      <c r="O32" s="21"/>
      <c r="P32" s="21"/>
    </row>
    <row r="33" customFormat="false" ht="57.75" hidden="false" customHeight="true" outlineLevel="0" collapsed="false">
      <c r="A33" s="16" t="s">
        <v>284</v>
      </c>
      <c r="B33" s="17" t="s">
        <v>285</v>
      </c>
      <c r="C33" s="18" t="s">
        <v>164</v>
      </c>
      <c r="D33" s="18" t="s">
        <v>286</v>
      </c>
      <c r="E33" s="19" t="n">
        <f aca="false">COUNTA(G33:P33)</f>
        <v>0</v>
      </c>
      <c r="F33" s="20"/>
      <c r="G33" s="21"/>
      <c r="H33" s="21"/>
      <c r="I33" s="21"/>
      <c r="J33" s="21"/>
      <c r="K33" s="21"/>
      <c r="L33" s="21"/>
      <c r="M33" s="21"/>
      <c r="N33" s="21"/>
      <c r="O33" s="21"/>
      <c r="P33" s="21"/>
    </row>
    <row r="34" customFormat="false" ht="24" hidden="false" customHeight="true" outlineLevel="0" collapsed="false">
      <c r="A34" s="12"/>
      <c r="B34" s="13" t="s">
        <v>287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customFormat="false" ht="19.5" hidden="false" customHeight="true" outlineLevel="0" collapsed="false">
      <c r="A35" s="16"/>
      <c r="B35" s="17" t="s">
        <v>385</v>
      </c>
      <c r="C35" s="18" t="s">
        <v>56</v>
      </c>
      <c r="D35" s="18" t="s">
        <v>386</v>
      </c>
      <c r="E35" s="19" t="n">
        <f aca="false">COUNTA(G35:P35)</f>
        <v>0</v>
      </c>
      <c r="F35" s="20" t="s">
        <v>387</v>
      </c>
      <c r="G35" s="21"/>
      <c r="H35" s="21"/>
      <c r="I35" s="21"/>
      <c r="J35" s="21"/>
      <c r="K35" s="21"/>
      <c r="L35" s="21"/>
      <c r="M35" s="21"/>
      <c r="N35" s="21"/>
      <c r="O35" s="21"/>
      <c r="P35" s="21"/>
    </row>
    <row r="36" customFormat="false" ht="45" hidden="false" customHeight="true" outlineLevel="0" collapsed="false">
      <c r="A36" s="16"/>
      <c r="B36" s="17" t="s">
        <v>388</v>
      </c>
      <c r="C36" s="18" t="s">
        <v>95</v>
      </c>
      <c r="D36" s="18" t="s">
        <v>521</v>
      </c>
      <c r="E36" s="19" t="n">
        <f aca="false">COUNTA(G36:P36)</f>
        <v>0</v>
      </c>
      <c r="F36" s="20" t="s">
        <v>522</v>
      </c>
      <c r="G36" s="21"/>
      <c r="H36" s="21"/>
      <c r="I36" s="21"/>
      <c r="J36" s="21"/>
      <c r="K36" s="21"/>
      <c r="L36" s="21"/>
      <c r="M36" s="21"/>
      <c r="N36" s="21"/>
      <c r="O36" s="21"/>
      <c r="P36" s="21"/>
    </row>
    <row r="37" customFormat="false" ht="19.5" hidden="false" customHeight="true" outlineLevel="0" collapsed="false">
      <c r="A37" s="16"/>
      <c r="B37" s="17" t="s">
        <v>391</v>
      </c>
      <c r="C37" s="18" t="s">
        <v>42</v>
      </c>
      <c r="D37" s="18" t="s">
        <v>523</v>
      </c>
      <c r="E37" s="19" t="n">
        <f aca="false">COUNTA(G37:P37)</f>
        <v>0</v>
      </c>
      <c r="F37" s="20" t="s">
        <v>524</v>
      </c>
      <c r="G37" s="21"/>
      <c r="H37" s="21"/>
      <c r="I37" s="21"/>
      <c r="J37" s="21"/>
      <c r="K37" s="21"/>
      <c r="L37" s="21"/>
      <c r="M37" s="21"/>
      <c r="N37" s="21"/>
      <c r="O37" s="21"/>
      <c r="P37" s="21"/>
    </row>
    <row r="38" customFormat="false" ht="19.5" hidden="false" customHeight="true" outlineLevel="0" collapsed="false">
      <c r="A38" s="16"/>
      <c r="B38" s="17" t="s">
        <v>394</v>
      </c>
      <c r="C38" s="18" t="s">
        <v>50</v>
      </c>
      <c r="D38" s="18" t="s">
        <v>395</v>
      </c>
      <c r="E38" s="19" t="n">
        <f aca="false">COUNTA(G38:P38)</f>
        <v>0</v>
      </c>
      <c r="F38" s="20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customFormat="false" ht="57.75" hidden="false" customHeight="true" outlineLevel="0" collapsed="false">
      <c r="A39" s="16"/>
      <c r="B39" s="17" t="s">
        <v>396</v>
      </c>
      <c r="C39" s="18" t="s">
        <v>292</v>
      </c>
      <c r="D39" s="18" t="s">
        <v>397</v>
      </c>
      <c r="E39" s="19" t="n">
        <f aca="false">COUNTA(G39:P39)</f>
        <v>0</v>
      </c>
      <c r="F39" s="20"/>
      <c r="G39" s="21"/>
      <c r="H39" s="21"/>
      <c r="I39" s="21"/>
      <c r="J39" s="21"/>
      <c r="K39" s="21"/>
      <c r="L39" s="21"/>
      <c r="M39" s="21"/>
      <c r="N39" s="21"/>
      <c r="O39" s="21"/>
      <c r="P39" s="21"/>
    </row>
  </sheetData>
  <mergeCells count="3">
    <mergeCell ref="A1:B1"/>
    <mergeCell ref="A2:B2"/>
    <mergeCell ref="A3:B3"/>
  </mergeCells>
  <dataValidations count="8">
    <dataValidation allowBlank="true" errorStyle="stop" operator="between" showDropDown="false" showErrorMessage="false" showInputMessage="false" sqref="G8:P8" type="list">
      <formula1>Списки!$AI$1:$AI$3</formula1>
      <formula2>0</formula2>
    </dataValidation>
    <dataValidation allowBlank="true" errorStyle="stop" operator="between" showDropDown="false" showErrorMessage="false" showInputMessage="false" sqref="G10:P10" type="list">
      <formula1>Списки!$AJ$1:$AJ$5</formula1>
      <formula2>0</formula2>
    </dataValidation>
    <dataValidation allowBlank="true" errorStyle="stop" operator="between" showDropDown="false" showErrorMessage="false" showInputMessage="false" sqref="G12:P12" type="list">
      <formula1>Списки!$AK$1:$AK$3</formula1>
      <formula2>0</formula2>
    </dataValidation>
    <dataValidation allowBlank="true" errorStyle="stop" operator="between" showDropDown="false" showErrorMessage="false" showInputMessage="false" sqref="G14:P14" type="list">
      <formula1>Списки!$AL$1:$AL$3</formula1>
      <formula2>0</formula2>
    </dataValidation>
    <dataValidation allowBlank="true" errorStyle="stop" operator="between" showDropDown="false" showErrorMessage="false" showInputMessage="false" sqref="G16:P16" type="list">
      <formula1>Списки!$AM$1:$AM$3</formula1>
      <formula2>0</formula2>
    </dataValidation>
    <dataValidation allowBlank="true" errorStyle="stop" operator="between" showDropDown="false" showErrorMessage="false" showInputMessage="false" sqref="G17:P17" type="list">
      <formula1>Списки!$AN$1:$AN$2</formula1>
      <formula2>0</formula2>
    </dataValidation>
    <dataValidation allowBlank="true" errorStyle="stop" operator="between" showDropDown="false" showErrorMessage="false" showInputMessage="false" sqref="G18:P18" type="list">
      <formula1>Списки!$AO$1:$AO$2</formula1>
      <formula2>0</formula2>
    </dataValidation>
    <dataValidation allowBlank="true" errorStyle="stop" operator="between" showDropDown="false" showErrorMessage="false" showInputMessage="false" sqref="G35:P35" type="list">
      <formula1>Списки!$AP$1:$AP$3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58</v>
      </c>
      <c r="B1" s="0" t="s">
        <v>62</v>
      </c>
      <c r="C1" s="0" t="s">
        <v>65</v>
      </c>
      <c r="D1" s="0" t="s">
        <v>525</v>
      </c>
      <c r="E1" s="0" t="s">
        <v>526</v>
      </c>
      <c r="F1" s="0" t="s">
        <v>527</v>
      </c>
      <c r="G1" s="0" t="s">
        <v>528</v>
      </c>
      <c r="H1" s="0" t="s">
        <v>529</v>
      </c>
      <c r="I1" s="0" t="s">
        <v>530</v>
      </c>
      <c r="J1" s="0" t="s">
        <v>531</v>
      </c>
      <c r="K1" s="0" t="s">
        <v>532</v>
      </c>
      <c r="L1" s="0" t="s">
        <v>533</v>
      </c>
      <c r="M1" s="0" t="s">
        <v>534</v>
      </c>
      <c r="N1" s="0" t="s">
        <v>535</v>
      </c>
      <c r="O1" s="0" t="s">
        <v>129</v>
      </c>
      <c r="P1" s="0" t="s">
        <v>536</v>
      </c>
      <c r="Q1" s="0" t="s">
        <v>537</v>
      </c>
      <c r="R1" s="0" t="s">
        <v>538</v>
      </c>
      <c r="S1" s="0" t="s">
        <v>539</v>
      </c>
      <c r="T1" s="0" t="s">
        <v>540</v>
      </c>
      <c r="U1" s="0" t="s">
        <v>300</v>
      </c>
      <c r="V1" s="0" t="s">
        <v>541</v>
      </c>
      <c r="W1" s="0" t="s">
        <v>542</v>
      </c>
      <c r="X1" s="0" t="s">
        <v>324</v>
      </c>
      <c r="Y1" s="0" t="s">
        <v>543</v>
      </c>
      <c r="Z1" s="0" t="s">
        <v>544</v>
      </c>
      <c r="AA1" s="0" t="s">
        <v>493</v>
      </c>
      <c r="AB1" s="0" t="s">
        <v>545</v>
      </c>
      <c r="AC1" s="0" t="s">
        <v>387</v>
      </c>
      <c r="AD1" s="0" t="s">
        <v>405</v>
      </c>
      <c r="AE1" s="0" t="s">
        <v>546</v>
      </c>
      <c r="AF1" s="0" t="s">
        <v>493</v>
      </c>
      <c r="AG1" s="0" t="s">
        <v>433</v>
      </c>
      <c r="AH1" s="0" t="s">
        <v>387</v>
      </c>
      <c r="AI1" s="0" t="s">
        <v>547</v>
      </c>
      <c r="AJ1" s="0" t="s">
        <v>548</v>
      </c>
      <c r="AK1" s="0" t="s">
        <v>482</v>
      </c>
      <c r="AL1" s="0" t="s">
        <v>549</v>
      </c>
      <c r="AM1" s="0" t="s">
        <v>550</v>
      </c>
      <c r="AN1" s="0" t="s">
        <v>496</v>
      </c>
      <c r="AO1" s="0" t="s">
        <v>499</v>
      </c>
      <c r="AP1" s="0" t="s">
        <v>387</v>
      </c>
    </row>
    <row r="2" customFormat="false" ht="15" hidden="false" customHeight="false" outlineLevel="0" collapsed="false">
      <c r="A2" s="0" t="s">
        <v>551</v>
      </c>
      <c r="B2" s="0" t="s">
        <v>552</v>
      </c>
      <c r="C2" s="0" t="s">
        <v>553</v>
      </c>
      <c r="D2" s="0" t="s">
        <v>554</v>
      </c>
      <c r="E2" s="0" t="s">
        <v>71</v>
      </c>
      <c r="F2" s="0" t="s">
        <v>555</v>
      </c>
      <c r="G2" s="0" t="s">
        <v>90</v>
      </c>
      <c r="H2" s="0" t="s">
        <v>556</v>
      </c>
      <c r="I2" s="0" t="s">
        <v>100</v>
      </c>
      <c r="J2" s="0" t="s">
        <v>557</v>
      </c>
      <c r="K2" s="0" t="s">
        <v>558</v>
      </c>
      <c r="L2" s="0" t="s">
        <v>559</v>
      </c>
      <c r="M2" s="0" t="s">
        <v>560</v>
      </c>
      <c r="N2" s="0" t="s">
        <v>119</v>
      </c>
      <c r="O2" s="0" t="s">
        <v>561</v>
      </c>
      <c r="P2" s="0" t="s">
        <v>132</v>
      </c>
      <c r="Q2" s="0" t="s">
        <v>138</v>
      </c>
      <c r="R2" s="0" t="s">
        <v>562</v>
      </c>
      <c r="S2" s="0" t="s">
        <v>563</v>
      </c>
      <c r="T2" s="0" t="s">
        <v>564</v>
      </c>
      <c r="U2" s="0" t="s">
        <v>565</v>
      </c>
      <c r="V2" s="0" t="s">
        <v>566</v>
      </c>
      <c r="W2" s="0" t="s">
        <v>318</v>
      </c>
      <c r="X2" s="0" t="s">
        <v>567</v>
      </c>
      <c r="Y2" s="0" t="s">
        <v>568</v>
      </c>
      <c r="Z2" s="0" t="s">
        <v>569</v>
      </c>
      <c r="AA2" s="0" t="s">
        <v>570</v>
      </c>
      <c r="AB2" s="0" t="s">
        <v>571</v>
      </c>
      <c r="AC2" s="0" t="s">
        <v>572</v>
      </c>
      <c r="AD2" s="0" t="s">
        <v>573</v>
      </c>
      <c r="AE2" s="0" t="s">
        <v>415</v>
      </c>
      <c r="AF2" s="0" t="s">
        <v>570</v>
      </c>
      <c r="AG2" s="0" t="s">
        <v>574</v>
      </c>
      <c r="AH2" s="0" t="s">
        <v>572</v>
      </c>
      <c r="AI2" s="0" t="s">
        <v>471</v>
      </c>
      <c r="AJ2" s="0" t="s">
        <v>575</v>
      </c>
      <c r="AK2" s="0" t="s">
        <v>576</v>
      </c>
      <c r="AL2" s="0" t="s">
        <v>119</v>
      </c>
      <c r="AM2" s="0" t="s">
        <v>577</v>
      </c>
      <c r="AN2" s="0" t="s">
        <v>578</v>
      </c>
      <c r="AO2" s="0" t="s">
        <v>579</v>
      </c>
      <c r="AP2" s="0" t="s">
        <v>572</v>
      </c>
    </row>
    <row r="3" customFormat="false" ht="15" hidden="false" customHeight="false" outlineLevel="0" collapsed="false">
      <c r="A3" s="0" t="s">
        <v>580</v>
      </c>
      <c r="B3" s="0" t="s">
        <v>581</v>
      </c>
      <c r="C3" s="0" t="s">
        <v>582</v>
      </c>
      <c r="D3" s="0" t="s">
        <v>68</v>
      </c>
      <c r="E3" s="0" t="s">
        <v>583</v>
      </c>
      <c r="F3" s="0" t="s">
        <v>584</v>
      </c>
      <c r="G3" s="0" t="s">
        <v>585</v>
      </c>
      <c r="H3" s="0" t="s">
        <v>93</v>
      </c>
      <c r="I3" s="0" t="s">
        <v>586</v>
      </c>
      <c r="J3" s="0" t="s">
        <v>587</v>
      </c>
      <c r="K3" s="0" t="s">
        <v>588</v>
      </c>
      <c r="L3" s="0" t="s">
        <v>110</v>
      </c>
      <c r="M3" s="0" t="s">
        <v>589</v>
      </c>
      <c r="N3" s="0" t="s">
        <v>590</v>
      </c>
      <c r="O3" s="0" t="s">
        <v>591</v>
      </c>
      <c r="P3" s="0" t="s">
        <v>592</v>
      </c>
      <c r="Q3" s="0" t="s">
        <v>593</v>
      </c>
      <c r="R3" s="0" t="s">
        <v>146</v>
      </c>
      <c r="S3" s="0" t="s">
        <v>594</v>
      </c>
      <c r="T3" s="0" t="s">
        <v>153</v>
      </c>
      <c r="V3" s="0" t="s">
        <v>315</v>
      </c>
      <c r="W3" s="0" t="s">
        <v>595</v>
      </c>
      <c r="X3" s="0" t="s">
        <v>596</v>
      </c>
      <c r="Y3" s="0" t="s">
        <v>330</v>
      </c>
      <c r="Z3" s="0" t="s">
        <v>333</v>
      </c>
      <c r="AA3" s="0" t="s">
        <v>597</v>
      </c>
      <c r="AB3" s="0" t="s">
        <v>345</v>
      </c>
      <c r="AC3" s="0" t="s">
        <v>598</v>
      </c>
      <c r="AD3" s="0" t="s">
        <v>599</v>
      </c>
      <c r="AE3" s="0" t="s">
        <v>600</v>
      </c>
      <c r="AF3" s="0" t="s">
        <v>597</v>
      </c>
      <c r="AG3" s="0" t="s">
        <v>93</v>
      </c>
      <c r="AH3" s="0" t="s">
        <v>598</v>
      </c>
      <c r="AI3" s="0" t="s">
        <v>601</v>
      </c>
      <c r="AJ3" s="0" t="s">
        <v>602</v>
      </c>
      <c r="AK3" s="0" t="s">
        <v>603</v>
      </c>
      <c r="AL3" s="0" t="s">
        <v>604</v>
      </c>
      <c r="AM3" s="0" t="s">
        <v>493</v>
      </c>
      <c r="AP3" s="0" t="s">
        <v>598</v>
      </c>
    </row>
    <row r="4" customFormat="false" ht="15" hidden="false" customHeight="false" outlineLevel="0" collapsed="false">
      <c r="A4" s="0" t="s">
        <v>605</v>
      </c>
      <c r="B4" s="0" t="s">
        <v>606</v>
      </c>
      <c r="C4" s="0" t="s">
        <v>607</v>
      </c>
      <c r="D4" s="0" t="s">
        <v>608</v>
      </c>
      <c r="E4" s="0" t="s">
        <v>609</v>
      </c>
      <c r="F4" s="0" t="s">
        <v>610</v>
      </c>
      <c r="I4" s="0" t="s">
        <v>611</v>
      </c>
      <c r="J4" s="0" t="s">
        <v>103</v>
      </c>
      <c r="K4" s="0" t="s">
        <v>612</v>
      </c>
      <c r="L4" s="0" t="s">
        <v>613</v>
      </c>
      <c r="M4" s="0" t="s">
        <v>116</v>
      </c>
      <c r="N4" s="0" t="s">
        <v>614</v>
      </c>
      <c r="O4" s="0" t="s">
        <v>615</v>
      </c>
      <c r="P4" s="0" t="s">
        <v>616</v>
      </c>
      <c r="R4" s="0" t="s">
        <v>617</v>
      </c>
      <c r="S4" s="0" t="s">
        <v>150</v>
      </c>
      <c r="T4" s="0" t="s">
        <v>618</v>
      </c>
      <c r="V4" s="0" t="s">
        <v>619</v>
      </c>
      <c r="X4" s="0" t="s">
        <v>620</v>
      </c>
      <c r="Y4" s="0" t="s">
        <v>621</v>
      </c>
      <c r="AA4" s="0" t="s">
        <v>336</v>
      </c>
      <c r="AB4" s="0" t="s">
        <v>622</v>
      </c>
      <c r="AD4" s="0" t="s">
        <v>623</v>
      </c>
      <c r="AE4" s="0" t="s">
        <v>624</v>
      </c>
      <c r="AF4" s="0" t="s">
        <v>430</v>
      </c>
      <c r="AG4" s="0" t="s">
        <v>625</v>
      </c>
      <c r="AJ4" s="0" t="s">
        <v>336</v>
      </c>
    </row>
    <row r="5" customFormat="false" ht="15" hidden="false" customHeight="false" outlineLevel="0" collapsed="false">
      <c r="A5" s="0" t="s">
        <v>626</v>
      </c>
      <c r="B5" s="0" t="s">
        <v>627</v>
      </c>
      <c r="C5" s="0" t="s">
        <v>628</v>
      </c>
      <c r="D5" s="0" t="s">
        <v>629</v>
      </c>
      <c r="E5" s="0" t="s">
        <v>628</v>
      </c>
      <c r="F5" s="0" t="s">
        <v>86</v>
      </c>
      <c r="I5" s="0" t="s">
        <v>630</v>
      </c>
      <c r="K5" s="0" t="s">
        <v>631</v>
      </c>
      <c r="L5" s="0" t="s">
        <v>632</v>
      </c>
      <c r="M5" s="0" t="s">
        <v>633</v>
      </c>
      <c r="N5" s="0" t="s">
        <v>634</v>
      </c>
      <c r="O5" s="0" t="s">
        <v>635</v>
      </c>
      <c r="S5" s="0" t="s">
        <v>636</v>
      </c>
      <c r="T5" s="0" t="s">
        <v>637</v>
      </c>
      <c r="V5" s="0" t="s">
        <v>638</v>
      </c>
      <c r="AA5" s="0" t="s">
        <v>639</v>
      </c>
      <c r="AB5" s="0" t="s">
        <v>640</v>
      </c>
      <c r="AD5" s="0" t="s">
        <v>641</v>
      </c>
      <c r="AJ5" s="0" t="s">
        <v>639</v>
      </c>
    </row>
    <row r="6" customFormat="false" ht="15" hidden="false" customHeight="false" outlineLevel="0" collapsed="false">
      <c r="A6" s="0" t="s">
        <v>642</v>
      </c>
      <c r="B6" s="0" t="s">
        <v>643</v>
      </c>
      <c r="C6" s="0" t="s">
        <v>644</v>
      </c>
      <c r="E6" s="0" t="s">
        <v>645</v>
      </c>
      <c r="K6" s="0" t="s">
        <v>107</v>
      </c>
      <c r="L6" s="0" t="s">
        <v>103</v>
      </c>
      <c r="M6" s="0" t="s">
        <v>646</v>
      </c>
      <c r="S6" s="0" t="s">
        <v>647</v>
      </c>
      <c r="AD6" s="0" t="s">
        <v>648</v>
      </c>
    </row>
    <row r="7" customFormat="false" ht="15" hidden="false" customHeight="false" outlineLevel="0" collapsed="false">
      <c r="C7" s="0" t="s">
        <v>649</v>
      </c>
      <c r="E7" s="0" t="s">
        <v>650</v>
      </c>
      <c r="S7" s="0" t="s">
        <v>651</v>
      </c>
      <c r="AD7" s="0" t="s">
        <v>652</v>
      </c>
    </row>
    <row r="8" customFormat="false" ht="15" hidden="false" customHeight="false" outlineLevel="0" collapsed="false">
      <c r="C8" s="0" t="s">
        <v>653</v>
      </c>
      <c r="AD8" s="0" t="s">
        <v>654</v>
      </c>
    </row>
    <row r="9" customFormat="false" ht="15" hidden="false" customHeight="false" outlineLevel="0" collapsed="false">
      <c r="AD9" s="0" t="s">
        <v>655</v>
      </c>
    </row>
    <row r="10" customFormat="false" ht="15" hidden="false" customHeight="false" outlineLevel="0" collapsed="false">
      <c r="AD10" s="0" t="s">
        <v>656</v>
      </c>
    </row>
    <row r="11" customFormat="false" ht="15" hidden="false" customHeight="false" outlineLevel="0" collapsed="false">
      <c r="AD11" s="0" t="s">
        <v>657</v>
      </c>
    </row>
    <row r="12" customFormat="false" ht="15" hidden="false" customHeight="false" outlineLevel="0" collapsed="false">
      <c r="AD12" s="0" t="s">
        <v>658</v>
      </c>
    </row>
    <row r="13" customFormat="false" ht="15" hidden="false" customHeight="false" outlineLevel="0" collapsed="false">
      <c r="AD13" s="0" t="s">
        <v>659</v>
      </c>
    </row>
    <row r="14" customFormat="false" ht="15" hidden="false" customHeight="false" outlineLevel="0" collapsed="false">
      <c r="AD14" s="0" t="s">
        <v>660</v>
      </c>
    </row>
    <row r="15" customFormat="false" ht="15" hidden="false" customHeight="false" outlineLevel="0" collapsed="false">
      <c r="AD15" s="0" t="s">
        <v>661</v>
      </c>
    </row>
    <row r="16" customFormat="false" ht="15" hidden="false" customHeight="false" outlineLevel="0" collapsed="false">
      <c r="AD16" s="0" t="s">
        <v>662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2026-10-10T12:39:47Z</dcterms:created>
  <dc:creator>openpyxl</dc:creator>
  <dc:description/>
  <dc:language>en-US</dc:language>
  <cp:lastModifiedBy/>
  <dcterms:modified xsi:type="dcterms:W3CDTF">2026-10-10T12:39:47Z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